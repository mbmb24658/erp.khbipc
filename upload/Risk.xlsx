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dia\Office\Kharazmi\dev\3rd\khbipc\upload\"/>
    </mc:Choice>
  </mc:AlternateContent>
  <xr:revisionPtr revIDLastSave="0" documentId="13_ncr:1_{7CD18C42-2394-4BED-A1BD-1C338992F807}" xr6:coauthVersionLast="47" xr6:coauthVersionMax="47" xr10:uidLastSave="{00000000-0000-0000-0000-000000000000}"/>
  <bookViews>
    <workbookView xWindow="1815" yWindow="600" windowWidth="18285" windowHeight="13125" tabRatio="857" activeTab="3" xr2:uid="{00000000-000D-0000-FFFF-FFFF00000000}"/>
  </bookViews>
  <sheets>
    <sheet name="شناسایی ریسک" sheetId="1" r:id="rId1"/>
    <sheet name="سنجش ریسک" sheetId="2" r:id="rId2"/>
    <sheet name="Heat Map" sheetId="3" r:id="rId3"/>
    <sheet name="اقدامات" sheetId="4" r:id="rId4"/>
    <sheet name="ارزیابی" sheetId="5" r:id="rId5"/>
    <sheet name="داشبورد" sheetId="6" r:id="rId6"/>
    <sheet name="Gauge 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4" l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J3" i="2" a="1"/>
  <c r="J3" i="2" s="1"/>
  <c r="K3" i="2" a="1"/>
  <c r="K3" i="2" s="1"/>
  <c r="E5" i="5"/>
  <c r="E9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J4" i="6"/>
  <c r="J3" i="6"/>
  <c r="E87" i="4"/>
  <c r="D88" i="4" s="1"/>
  <c r="E88" i="4" s="1"/>
  <c r="E83" i="4"/>
  <c r="H83" i="4" s="1"/>
  <c r="I83" i="4" s="1"/>
  <c r="J83" i="4" s="1"/>
  <c r="E79" i="4"/>
  <c r="H79" i="4" s="1"/>
  <c r="I79" i="4" s="1"/>
  <c r="J79" i="4" s="1"/>
  <c r="E75" i="4"/>
  <c r="D76" i="4" s="1"/>
  <c r="E76" i="4" s="1"/>
  <c r="H82" i="4"/>
  <c r="I82" i="4" s="1"/>
  <c r="J82" i="4" s="1"/>
  <c r="H86" i="4"/>
  <c r="I86" i="4" s="1"/>
  <c r="J86" i="4" s="1"/>
  <c r="H78" i="4"/>
  <c r="I78" i="4" s="1"/>
  <c r="J78" i="4" s="1"/>
  <c r="H74" i="4"/>
  <c r="I74" i="4" s="1"/>
  <c r="H20" i="5"/>
  <c r="J20" i="5" s="1"/>
  <c r="H21" i="5"/>
  <c r="H22" i="5"/>
  <c r="H23" i="5"/>
  <c r="H3" i="5"/>
  <c r="J3" i="5" s="1"/>
  <c r="H4" i="5"/>
  <c r="J4" i="5" s="1"/>
  <c r="H5" i="5"/>
  <c r="J5" i="5" s="1"/>
  <c r="H6" i="5"/>
  <c r="H7" i="5"/>
  <c r="H8" i="5"/>
  <c r="H9" i="5"/>
  <c r="J9" i="5" s="1"/>
  <c r="H10" i="5"/>
  <c r="H11" i="5"/>
  <c r="J11" i="5" s="1"/>
  <c r="H12" i="5"/>
  <c r="J12" i="5" s="1"/>
  <c r="H13" i="5"/>
  <c r="J13" i="5" s="1"/>
  <c r="H14" i="5"/>
  <c r="H15" i="5"/>
  <c r="H16" i="5"/>
  <c r="H17" i="5"/>
  <c r="J17" i="5" s="1"/>
  <c r="H18" i="5"/>
  <c r="H19" i="5"/>
  <c r="J19" i="5" s="1"/>
  <c r="H2" i="5"/>
  <c r="J2" i="5" s="1"/>
  <c r="F20" i="5"/>
  <c r="F21" i="5"/>
  <c r="F22" i="5"/>
  <c r="F2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" i="5"/>
  <c r="E20" i="5"/>
  <c r="E21" i="5"/>
  <c r="E22" i="5"/>
  <c r="E23" i="5"/>
  <c r="E3" i="5"/>
  <c r="E4" i="5"/>
  <c r="E6" i="5"/>
  <c r="E7" i="5"/>
  <c r="E8" i="5"/>
  <c r="E10" i="5"/>
  <c r="E11" i="5"/>
  <c r="E12" i="5"/>
  <c r="E13" i="5"/>
  <c r="E14" i="5"/>
  <c r="E15" i="5"/>
  <c r="E16" i="5"/>
  <c r="E17" i="5"/>
  <c r="E18" i="5"/>
  <c r="E19" i="5"/>
  <c r="E2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G3" i="6" s="1"/>
  <c r="D3" i="5"/>
  <c r="D2" i="5"/>
  <c r="B20" i="5"/>
  <c r="B21" i="5"/>
  <c r="B22" i="5"/>
  <c r="B2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  <c r="H87" i="4" l="1"/>
  <c r="I87" i="4" s="1"/>
  <c r="J87" i="4" s="1"/>
  <c r="D84" i="4"/>
  <c r="E84" i="4" s="1"/>
  <c r="D85" i="4" s="1"/>
  <c r="E85" i="4" s="1"/>
  <c r="H85" i="4" s="1"/>
  <c r="I85" i="4" s="1"/>
  <c r="J85" i="4" s="1"/>
  <c r="J21" i="5"/>
  <c r="J22" i="5"/>
  <c r="J14" i="5"/>
  <c r="J6" i="5"/>
  <c r="J18" i="5"/>
  <c r="J10" i="5"/>
  <c r="J16" i="5"/>
  <c r="J8" i="5"/>
  <c r="H84" i="4"/>
  <c r="I84" i="4" s="1"/>
  <c r="J84" i="4" s="1"/>
  <c r="D80" i="4"/>
  <c r="E80" i="4" s="1"/>
  <c r="J15" i="5"/>
  <c r="J7" i="5"/>
  <c r="G7" i="6"/>
  <c r="G6" i="6"/>
  <c r="G4" i="6"/>
  <c r="G5" i="6"/>
  <c r="J23" i="5"/>
  <c r="J74" i="4"/>
  <c r="K23" i="5" a="1"/>
  <c r="K23" i="5" s="1"/>
  <c r="D89" i="4"/>
  <c r="E89" i="4" s="1"/>
  <c r="H89" i="4" s="1"/>
  <c r="I89" i="4" s="1"/>
  <c r="J89" i="4" s="1"/>
  <c r="H88" i="4"/>
  <c r="I88" i="4" s="1"/>
  <c r="J88" i="4" s="1"/>
  <c r="H76" i="4"/>
  <c r="I76" i="4" s="1"/>
  <c r="J76" i="4" s="1"/>
  <c r="D77" i="4"/>
  <c r="H75" i="4"/>
  <c r="I75" i="4" s="1"/>
  <c r="J75" i="4" s="1"/>
  <c r="B47" i="6"/>
  <c r="B48" i="6"/>
  <c r="B49" i="6"/>
  <c r="B50" i="6"/>
  <c r="H2" i="4"/>
  <c r="I2" i="4" s="1"/>
  <c r="H3" i="4"/>
  <c r="I3" i="4" s="1"/>
  <c r="J3" i="4" s="1"/>
  <c r="H4" i="4"/>
  <c r="I4" i="4" s="1"/>
  <c r="J4" i="4" s="1"/>
  <c r="H5" i="4"/>
  <c r="I5" i="4" s="1"/>
  <c r="J5" i="4" s="1"/>
  <c r="H6" i="4"/>
  <c r="I6" i="4" s="1"/>
  <c r="J6" i="4" s="1"/>
  <c r="H7" i="4"/>
  <c r="I7" i="4" s="1"/>
  <c r="J7" i="4" s="1"/>
  <c r="H8" i="4"/>
  <c r="I8" i="4" s="1"/>
  <c r="J8" i="4" s="1"/>
  <c r="H9" i="4"/>
  <c r="I9" i="4" s="1"/>
  <c r="J9" i="4" s="1"/>
  <c r="H10" i="4"/>
  <c r="I10" i="4" s="1"/>
  <c r="J10" i="4" s="1"/>
  <c r="H11" i="4"/>
  <c r="I11" i="4" s="1"/>
  <c r="J11" i="4" s="1"/>
  <c r="H12" i="4"/>
  <c r="I12" i="4" s="1"/>
  <c r="J12" i="4" s="1"/>
  <c r="H13" i="4"/>
  <c r="I13" i="4" s="1"/>
  <c r="J13" i="4" s="1"/>
  <c r="H14" i="4"/>
  <c r="I14" i="4" s="1"/>
  <c r="J14" i="4" s="1"/>
  <c r="H15" i="4"/>
  <c r="I15" i="4" s="1"/>
  <c r="J15" i="4" s="1"/>
  <c r="H16" i="4"/>
  <c r="I16" i="4" s="1"/>
  <c r="J16" i="4" s="1"/>
  <c r="H17" i="4"/>
  <c r="I17" i="4" s="1"/>
  <c r="J17" i="4" s="1"/>
  <c r="H18" i="4"/>
  <c r="I18" i="4" s="1"/>
  <c r="J18" i="4" s="1"/>
  <c r="H19" i="4"/>
  <c r="I19" i="4" s="1"/>
  <c r="J19" i="4" s="1"/>
  <c r="H20" i="4"/>
  <c r="I20" i="4" s="1"/>
  <c r="J20" i="4" s="1"/>
  <c r="H21" i="4"/>
  <c r="I21" i="4" s="1"/>
  <c r="J21" i="4" s="1"/>
  <c r="H22" i="4"/>
  <c r="I22" i="4" s="1"/>
  <c r="J22" i="4" s="1"/>
  <c r="H23" i="4"/>
  <c r="I23" i="4" s="1"/>
  <c r="J23" i="4" s="1"/>
  <c r="H24" i="4"/>
  <c r="I24" i="4" s="1"/>
  <c r="J24" i="4" s="1"/>
  <c r="H25" i="4"/>
  <c r="I25" i="4" s="1"/>
  <c r="J25" i="4" s="1"/>
  <c r="H26" i="4"/>
  <c r="I26" i="4" s="1"/>
  <c r="J26" i="4" s="1"/>
  <c r="H27" i="4"/>
  <c r="I27" i="4" s="1"/>
  <c r="J27" i="4" s="1"/>
  <c r="H28" i="4"/>
  <c r="I28" i="4" s="1"/>
  <c r="J28" i="4" s="1"/>
  <c r="H29" i="4"/>
  <c r="I29" i="4" s="1"/>
  <c r="J29" i="4" s="1"/>
  <c r="H30" i="4"/>
  <c r="I30" i="4" s="1"/>
  <c r="J30" i="4" s="1"/>
  <c r="H31" i="4"/>
  <c r="I31" i="4" s="1"/>
  <c r="J31" i="4" s="1"/>
  <c r="H32" i="4"/>
  <c r="I32" i="4" s="1"/>
  <c r="J32" i="4" s="1"/>
  <c r="H33" i="4"/>
  <c r="I33" i="4" s="1"/>
  <c r="J33" i="4" s="1"/>
  <c r="H34" i="4"/>
  <c r="I34" i="4" s="1"/>
  <c r="J34" i="4" s="1"/>
  <c r="H35" i="4"/>
  <c r="I35" i="4" s="1"/>
  <c r="J35" i="4" s="1"/>
  <c r="H36" i="4"/>
  <c r="I36" i="4" s="1"/>
  <c r="J36" i="4" s="1"/>
  <c r="H37" i="4"/>
  <c r="I37" i="4" s="1"/>
  <c r="J37" i="4" s="1"/>
  <c r="H38" i="4"/>
  <c r="I38" i="4" s="1"/>
  <c r="J38" i="4" s="1"/>
  <c r="H39" i="4"/>
  <c r="I39" i="4" s="1"/>
  <c r="J39" i="4" s="1"/>
  <c r="H40" i="4"/>
  <c r="I40" i="4" s="1"/>
  <c r="J40" i="4" s="1"/>
  <c r="H41" i="4"/>
  <c r="I41" i="4" s="1"/>
  <c r="J41" i="4" s="1"/>
  <c r="H42" i="4"/>
  <c r="I42" i="4" s="1"/>
  <c r="J42" i="4" s="1"/>
  <c r="H43" i="4"/>
  <c r="I43" i="4" s="1"/>
  <c r="J43" i="4" s="1"/>
  <c r="H44" i="4"/>
  <c r="I44" i="4" s="1"/>
  <c r="J44" i="4" s="1"/>
  <c r="H45" i="4"/>
  <c r="I45" i="4" s="1"/>
  <c r="J45" i="4" s="1"/>
  <c r="H46" i="4"/>
  <c r="I46" i="4" s="1"/>
  <c r="J46" i="4" s="1"/>
  <c r="H47" i="4"/>
  <c r="I47" i="4" s="1"/>
  <c r="J47" i="4" s="1"/>
  <c r="H48" i="4"/>
  <c r="I48" i="4" s="1"/>
  <c r="J48" i="4" s="1"/>
  <c r="H49" i="4"/>
  <c r="I49" i="4" s="1"/>
  <c r="J49" i="4" s="1"/>
  <c r="H50" i="4"/>
  <c r="I50" i="4" s="1"/>
  <c r="J50" i="4" s="1"/>
  <c r="K14" i="5" s="1" a="1"/>
  <c r="K14" i="5" s="1"/>
  <c r="H51" i="4"/>
  <c r="I51" i="4" s="1"/>
  <c r="J51" i="4" s="1"/>
  <c r="H52" i="4"/>
  <c r="I52" i="4" s="1"/>
  <c r="J52" i="4" s="1"/>
  <c r="H53" i="4"/>
  <c r="I53" i="4" s="1"/>
  <c r="J53" i="4" s="1"/>
  <c r="H54" i="4"/>
  <c r="I54" i="4" s="1"/>
  <c r="J54" i="4" s="1"/>
  <c r="H55" i="4"/>
  <c r="I55" i="4" s="1"/>
  <c r="J55" i="4" s="1"/>
  <c r="H56" i="4"/>
  <c r="I56" i="4" s="1"/>
  <c r="J56" i="4" s="1"/>
  <c r="H57" i="4"/>
  <c r="I57" i="4" s="1"/>
  <c r="J57" i="4" s="1"/>
  <c r="H58" i="4"/>
  <c r="I58" i="4" s="1"/>
  <c r="J58" i="4" s="1"/>
  <c r="K16" i="5" s="1" a="1"/>
  <c r="K16" i="5" s="1"/>
  <c r="H59" i="4"/>
  <c r="I59" i="4" s="1"/>
  <c r="J59" i="4" s="1"/>
  <c r="H60" i="4"/>
  <c r="I60" i="4" s="1"/>
  <c r="J60" i="4" s="1"/>
  <c r="H61" i="4"/>
  <c r="I61" i="4" s="1"/>
  <c r="J61" i="4" s="1"/>
  <c r="H62" i="4"/>
  <c r="I62" i="4" s="1"/>
  <c r="J62" i="4" s="1"/>
  <c r="H63" i="4"/>
  <c r="I63" i="4" s="1"/>
  <c r="J63" i="4" s="1"/>
  <c r="H64" i="4"/>
  <c r="I64" i="4" s="1"/>
  <c r="J64" i="4" s="1"/>
  <c r="H65" i="4"/>
  <c r="I65" i="4" s="1"/>
  <c r="J65" i="4" s="1"/>
  <c r="H66" i="4"/>
  <c r="I66" i="4" s="1"/>
  <c r="J66" i="4" s="1"/>
  <c r="K18" i="5" s="1" a="1"/>
  <c r="K18" i="5" s="1"/>
  <c r="H67" i="4"/>
  <c r="I67" i="4" s="1"/>
  <c r="J67" i="4" s="1"/>
  <c r="H68" i="4"/>
  <c r="I68" i="4" s="1"/>
  <c r="J68" i="4" s="1"/>
  <c r="H69" i="4"/>
  <c r="I69" i="4" s="1"/>
  <c r="J69" i="4" s="1"/>
  <c r="H70" i="4"/>
  <c r="I70" i="4" s="1"/>
  <c r="J70" i="4" s="1"/>
  <c r="H71" i="4"/>
  <c r="I71" i="4" s="1"/>
  <c r="J71" i="4" s="1"/>
  <c r="H72" i="4"/>
  <c r="I72" i="4" s="1"/>
  <c r="J72" i="4" s="1"/>
  <c r="H73" i="4"/>
  <c r="I73" i="4" s="1"/>
  <c r="J73" i="4" s="1"/>
  <c r="K2" i="5" l="1" a="1"/>
  <c r="K2" i="5" s="1"/>
  <c r="K22" i="5" a="1"/>
  <c r="K22" i="5" s="1"/>
  <c r="K12" i="5" a="1"/>
  <c r="K12" i="5" s="1"/>
  <c r="K10" i="5" a="1"/>
  <c r="K10" i="5" s="1"/>
  <c r="K8" i="5" a="1"/>
  <c r="K8" i="5" s="1"/>
  <c r="K6" i="5" a="1"/>
  <c r="K6" i="5" s="1"/>
  <c r="K4" i="5" a="1"/>
  <c r="K4" i="5" s="1"/>
  <c r="B11" i="6"/>
  <c r="B19" i="6"/>
  <c r="B8" i="6"/>
  <c r="B22" i="6"/>
  <c r="B21" i="6"/>
  <c r="B9" i="6"/>
  <c r="B20" i="6"/>
  <c r="B10" i="6"/>
  <c r="B16" i="6"/>
  <c r="B6" i="6"/>
  <c r="B5" i="6"/>
  <c r="B15" i="6"/>
  <c r="B3" i="6"/>
  <c r="B4" i="6"/>
  <c r="B17" i="6"/>
  <c r="B14" i="6"/>
  <c r="D81" i="4"/>
  <c r="E81" i="4" s="1"/>
  <c r="H81" i="4" s="1"/>
  <c r="I81" i="4" s="1"/>
  <c r="J81" i="4" s="1"/>
  <c r="H80" i="4"/>
  <c r="I80" i="4" s="1"/>
  <c r="J80" i="4" s="1"/>
  <c r="E77" i="4"/>
  <c r="H77" i="4" s="1"/>
  <c r="I77" i="4" s="1"/>
  <c r="J77" i="4" s="1"/>
  <c r="K20" i="5" s="1" a="1"/>
  <c r="K20" i="5" s="1"/>
  <c r="C49" i="6"/>
  <c r="K19" i="5" a="1"/>
  <c r="K19" i="5" s="1"/>
  <c r="C48" i="6"/>
  <c r="C47" i="6"/>
  <c r="K17" i="5" a="1"/>
  <c r="K17" i="5" s="1"/>
  <c r="C46" i="6"/>
  <c r="K13" i="5" a="1"/>
  <c r="K13" i="5" s="1"/>
  <c r="K7" i="5" a="1"/>
  <c r="K7" i="5" s="1"/>
  <c r="K11" i="5" a="1"/>
  <c r="K11" i="5" s="1"/>
  <c r="K5" i="5" a="1"/>
  <c r="K5" i="5" s="1"/>
  <c r="K15" i="5" a="1"/>
  <c r="K15" i="5" s="1"/>
  <c r="K9" i="5" a="1"/>
  <c r="K9" i="5" s="1"/>
  <c r="K3" i="5" a="1"/>
  <c r="K3" i="5" s="1"/>
  <c r="K21" i="5" l="1" a="1"/>
  <c r="K21" i="5" s="1"/>
  <c r="E19" i="6"/>
  <c r="H19" i="7" s="1"/>
  <c r="H15" i="7" s="1"/>
  <c r="H18" i="7" s="1"/>
  <c r="E8" i="6"/>
  <c r="D19" i="7" s="1"/>
  <c r="D15" i="7" s="1"/>
  <c r="E3" i="6"/>
  <c r="B19" i="7" s="1"/>
  <c r="B15" i="7" s="1"/>
  <c r="B18" i="7" s="1"/>
  <c r="E13" i="6"/>
  <c r="F19" i="7" s="1"/>
  <c r="F15" i="7" s="1"/>
  <c r="I18" i="7" l="1"/>
  <c r="G18" i="7"/>
  <c r="F18" i="7"/>
  <c r="E18" i="7"/>
  <c r="C18" i="7"/>
  <c r="D18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<sst xmlns="http://schemas.openxmlformats.org/spreadsheetml/2006/main" count="802" uniqueCount="281">
  <si>
    <t>کد ساختار شکست</t>
  </si>
  <si>
    <t>شرح ریسک</t>
  </si>
  <si>
    <t>رویداد</t>
  </si>
  <si>
    <t>پیامد</t>
  </si>
  <si>
    <t>طبقه بندی ریسک</t>
  </si>
  <si>
    <t>تأثیر پیامد بر اهداف</t>
  </si>
  <si>
    <t>ریسک نبود نقش ها و اختیارات شفاف</t>
  </si>
  <si>
    <t>در یک پروژه فناورانه، مسئولیت تصمیم گیری بین واحد فناوری، واحد حقوقی و واحد تجاری مشخص نیست و تصمیم نهایی با تأخیر اتخاذ می شود.</t>
  </si>
  <si>
    <t>تأخیر در تصمیم سازی، افزایش هزینه های هماهنگی، و کاهش اثربخشی حکمرانی فناورانه.</t>
  </si>
  <si>
    <t>حکمرانی</t>
  </si>
  <si>
    <t>منفی</t>
  </si>
  <si>
    <t>ریسک تعارض منافع در تصمیم گیری فناورانه</t>
  </si>
  <si>
    <t>یکی از تصمیم گیران، به طور مستقیم یا غیرمستقیم ذی نفع انتخاب یک فناوری یا تأمین کننده خاص است.</t>
  </si>
  <si>
    <t>انتخاب نامناسب دارایی یا شریک فناورانه، کاهش شفافیت، و خدشه به اعتماد ذی نفعان.</t>
  </si>
  <si>
    <t>ریسک نبود سازوکار ارزیابی و اولویت بندی تصمیم ها</t>
  </si>
  <si>
    <t>چند پیشنهاد فناورانه به صورت هم زمان مطرح می شوند اما هیچ چارچوب مشترکی برای ارزیابی ارزش، ریسک و فوریت وجود ندارد.</t>
  </si>
  <si>
    <t>تخصیص نادرست منابع، اتلاف سرمایه، و از دست رفتن فرصت های باارزش تر.</t>
  </si>
  <si>
    <t>ریسک دارایی های فناورانه فاقد متولی</t>
  </si>
  <si>
    <t>یک نمونه اولیه یا فناوری داخلی پس از پایان پروژه، بدون مالک مشخص در سازمان باقی می ماند.</t>
  </si>
  <si>
    <t>فرسایش تدریجی دارایی، عدم توسعه بیشتر، و احتمال نابودی فرصت تجاری سازی.</t>
  </si>
  <si>
    <t>دارایی های داخلی</t>
  </si>
  <si>
    <t>ریسک از بین رفتن دانش، مستندات و نمونه ها</t>
  </si>
  <si>
    <t>پس از خروج یک تیم پروژه، مستندات فنی، کدها یا نمونه های آزمون تحویل و آرشیو نمی شوند.</t>
  </si>
  <si>
    <t>از دست رفتن قابلیت بازتولید، دشواری توسعه مجدد، و افزایش وابستگی به افراد یا تیم قبلی.</t>
  </si>
  <si>
    <t>ریسک طبقه بندی نادرست دارایی ها (ارزش، بلوغ، فوریت)</t>
  </si>
  <si>
    <t>یک دارایی کم ارزش یا کم بلوغ به اشتباه به عنوان دارایی راهبردی اولویت دار طبقه بندی می شود.</t>
  </si>
  <si>
    <t>انحراف سرمایه گذاری، اتلاف ظرفیت توسعه، و کاهش بازده پرتفوی دارایی های فناورانه.</t>
  </si>
  <si>
    <t>ریسک تمایلی نداشتن به رها کردن مالکیت دارایی توسط واحدهای سازمانی</t>
  </si>
  <si>
    <t>یک واحد سازمانی حاضر نیست دارایی فناورانه ای را که دیگر در مأموریتش نیست، به مرکز متولی منتقل کند.</t>
  </si>
  <si>
    <t>قفل شدن دارایی در یک واحد، جلوگیری از بهره برداری سازمانی، و کاهش سرعت تجاری سازی.</t>
  </si>
  <si>
    <t>ریسک بسیار تخصصی دارایی های توسعه یافته و بواسطه آن بازار خارجی محدود</t>
  </si>
  <si>
    <t>دارایی فناورانه ای طراحی می شود که فقط برای یک صنعت یا مشتری بسیار خاص کاربرد دارد.</t>
  </si>
  <si>
    <t>محدود شدن بازار هدف، دشواری فروش/واگذاری، و کاهش احتمال بازگشت سرمایه.</t>
  </si>
  <si>
    <t>ریسک قدیمی بودن دارایی ها و نیازمند به روزرسانی های پرهزینه جهت استانداردسازی</t>
  </si>
  <si>
    <t>دارایی فناورانه داخلی بر پایه فناوری قدیمی ساخته شده و برای ورود به بازار، نیازمند بازطراحی اساسی است.</t>
  </si>
  <si>
    <t>افزایش هزینه توسعه، طولانی شدن زمان عرضه، و احتمال غیراقتصادی شدن پروژه.</t>
  </si>
  <si>
    <t>ریسک اعتبار فناورانه و مالی شریک</t>
  </si>
  <si>
    <t>شریک پیشنهادی در ارائه اسناد فنی یا مالی، سوابق ناکافی یا متناقض دارد.</t>
  </si>
  <si>
    <t>افزایش احتمال شکست همکاری، ریسک عدم ایفای تعهدات، و هدررفت منابع مشترک.</t>
  </si>
  <si>
    <t>همکاری های بیرونی</t>
  </si>
  <si>
    <t>ریسک های حقوقی، قراردادی و مالکیتی در مشارکت</t>
  </si>
  <si>
    <t>در قرارداد مشارکت، مالکیت نتایج تحقیق و توسعه یا حقوق بهره برداری به وضوح تعریف نشده است.</t>
  </si>
  <si>
    <t>بروز اختلاف حقوقی، توقف پروژه، و کاهش قابلیت بهره برداری از دارایی مشترک.</t>
  </si>
  <si>
    <t>ریسک عدم هم راستایی اهداف شریک با منافع خوارزمی</t>
  </si>
  <si>
    <t>شریک بیرونی بیشتر به دنبال منافع کوتاه مدت فروش است، درحالی که خوارزمی هدف توسعه دارایی بلندمدت دارد.</t>
  </si>
  <si>
    <t>انحراف پروژه از اهداف اصلی، تعارض در تصمیم گیری، و کاهش ارزش نهایی همکاری.</t>
  </si>
  <si>
    <t>ریسک پراکندگی دانش و فقدان نظام یکپارچه</t>
  </si>
  <si>
    <t>دانش های حاصل از پروژه ها در فایل ها، افراد و واحدهای مختلف پراکنده است و بانک دانش واحدی وجود ندارد.</t>
  </si>
  <si>
    <t>دوباره کاری، کاهش سرعت یادگیری سازمانی، و دشواری در تصمیم سازی مبتنی بر دانش.</t>
  </si>
  <si>
    <t>مرجعیت فکری</t>
  </si>
  <si>
    <t>ریسک وابستگی به افراد کلیدی</t>
  </si>
  <si>
    <t>دانش فنی یا تحلیلی یک حوزه فقط در اختیار چند نفر محدود است و مستندسازی کافی انجام نشده است.</t>
  </si>
  <si>
    <t>اختلال جدی در صورت خروج یا عدم دسترسی به افراد کلیدی، و توقف بخشی از عملیات دانشی.</t>
  </si>
  <si>
    <t>ریسک تولید دانش غیرمعتبر یا غیرکاربردی</t>
  </si>
  <si>
    <t>یک گزارش یا مطالعه راهبردی بدون روش شناسی دقیق یا داده معتبر تهیه می شود.</t>
  </si>
  <si>
    <t>تصمیم گیری نادرست، اتلاف منابع پژوهشی، و کاهش اعتبار مرجعیت فکری خوارزمی.</t>
  </si>
  <si>
    <t>ریسک های نقدینگی و ناپایداری درآمد</t>
  </si>
  <si>
    <t>دریافت مطالبات از مشتریان با تأخیر انجام می شود و جریان ورودی نقد برای پوشش هزینه ها کافی نیست.</t>
  </si>
  <si>
    <t>اختلال در تأمین مالی عملیات، تأخیر در پرداخت تعهدات، و کاهش توان سرمایه گذاری.</t>
  </si>
  <si>
    <t>پایداری و خدمات</t>
  </si>
  <si>
    <t>ریسک های آسیب به برند مرجع</t>
  </si>
  <si>
    <t>یک پروژه یا خدمت ناموفق به صورت عمومی با نام خوارزمی شناخته می شود</t>
  </si>
  <si>
    <t>کاهش اعتماد بازار و ذی نفعان، افت اعتبار برند، و دشوارتر شدن جذب شریک یا مشتری جدید.</t>
  </si>
  <si>
    <t>ریسک افت کیفیت خدمات پشتیبانی دارایی محور</t>
  </si>
  <si>
    <t>به دلیل کمبود منابع یا ضعف فرآیند، خدمات پس از تحویل دارایی با تأخیر یا خطای زیاد ارائه می شود.</t>
  </si>
  <si>
    <t>نارضایتی مشتری، افزایش شکایات، و کاهش احتمال تمدید قرارداد یا خرید مجدد.</t>
  </si>
  <si>
    <t>شناسه ریسک</t>
  </si>
  <si>
    <t>شدت اثر فعلی</t>
  </si>
  <si>
    <t>احتمال وقوع فعلی</t>
  </si>
  <si>
    <t>شدت اثر هدف</t>
  </si>
  <si>
    <t>احتمال وقوع هدف</t>
  </si>
  <si>
    <t>متوسط</t>
  </si>
  <si>
    <t>ممکن</t>
  </si>
  <si>
    <t>جزئی</t>
  </si>
  <si>
    <t>بعید</t>
  </si>
  <si>
    <t>نادر</t>
  </si>
  <si>
    <t>شدت \ احتمال</t>
  </si>
  <si>
    <t>ماتریس ریسک (تأثیر منفی)</t>
  </si>
  <si>
    <t>اساسی</t>
  </si>
  <si>
    <t>Critical</t>
  </si>
  <si>
    <t>عمده</t>
  </si>
  <si>
    <t>High</t>
  </si>
  <si>
    <t>Medium</t>
  </si>
  <si>
    <t>Low</t>
  </si>
  <si>
    <t>ناچیز</t>
  </si>
  <si>
    <t>ماتریس ریسک (تأثیر مثبت)</t>
  </si>
  <si>
    <t>شرح اقدام</t>
  </si>
  <si>
    <t>ماه/بازه</t>
  </si>
  <si>
    <t>تاریخ شروع</t>
  </si>
  <si>
    <t>تاریخ پایان</t>
  </si>
  <si>
    <t>پیشرفت اجرا (%)</t>
  </si>
  <si>
    <t>اهمیت (1-10)</t>
  </si>
  <si>
    <t>تعریف RACI برای «تصمیم های فناورانه/سرمایه گذاری دارایی محور» و نگاشت به ساختار سازمان</t>
  </si>
  <si>
    <t>فروردین</t>
  </si>
  <si>
    <t>تصویب کارگروه/کمیته تصمیم گیری (TB/SC) + ابلاغ اختیارها و مسیر اخذ تصمیم</t>
  </si>
  <si>
    <t>اردیبهشت</t>
  </si>
  <si>
    <t>تعیین SLA برای زمان تصمیم (مثلاً ۱۰ روز کاری) و ثبت گردش کار</t>
  </si>
  <si>
    <t>خرداد</t>
  </si>
  <si>
    <t>تیر تا اسفند</t>
  </si>
  <si>
    <t>مانیتورینگ ماهانه «عدم تطابق نقش ها/تأخیر تصمیم» و گزارش به هیئت/کمیته حکمرانی</t>
  </si>
  <si>
    <t>تدوین «سیاست تعارض منافع» (تعریف ذی نفع، فرآیند افشا، محرومیت از رأی)</t>
  </si>
  <si>
    <t>ایجاد فرم افشای سالانه + چک لیست تعارض منافع برای هر تصمیم/پروژه</t>
  </si>
  <si>
    <t>آموزش تصمیم گیران و اجرای پایلوت روی ۲ پروژه/تصمیم</t>
  </si>
  <si>
    <t>اجرای ماهانه کنترل: تطابق افشاها با تصمیم های ثبت شده + بازبینی نمونه ای</t>
  </si>
  <si>
    <t>طراحی چارچوب اولویت بندی (ارزش/ریسک/هزینه/فوریت/هم راستایی با فازها)</t>
  </si>
  <si>
    <t>تعریف مدل امتیازدهی و معیارهای وزن دهی (Risk-Value-Fit)</t>
  </si>
  <si>
    <t>اجرای مدل روی سبد پیشنهادی برای ۱۴۰۵ و تعیین «پایپ لاین» پروژه ها</t>
  </si>
  <si>
    <t>جلسه ماهانه کمیته ارزیابی + به روزرسانی ورودی ها (Demand/Cost/Risk)، گزارش اختلاف امتیاز با خروجی تصمیم</t>
  </si>
  <si>
    <t>تعریف نقش «متولی دارایی (Asset Owner)» و معیار تعیین مالک</t>
  </si>
  <si>
    <t>ایجاد رجیستری دارایی ها و الزام ثبت مالک، وضعیت (استارت/توسعه/کسب پذیری/آماده فروش)</t>
  </si>
  <si>
    <t>پایلوت بر روی دارایی های در حال انتقال/اوج توسعه</t>
  </si>
  <si>
    <t>مانیتورینگ ماهانه دارایی های بدون مالک + تصمیم های تخصیص مجدد/ادغام دارایی</t>
  </si>
  <si>
    <t>تعریف حداقل استاندارد مستندسازی (Template) و سطح دسترسی</t>
  </si>
  <si>
    <t>راه اندازی/به روزرسانی مخزن دانش و نسخه بندی (Version Control)</t>
  </si>
  <si>
    <t>اجرای «بازسازی نمونه ها» روی حداقل ۱ دارایی حیاتی (Restore/Validate)</t>
  </si>
  <si>
    <t>بازبینی ماهانه چک لیست تحویل (Document Completeness) + بکاپ دوره ای و تست بازیابی ماهانه/دوماهیانه</t>
  </si>
  <si>
    <t>تعریف متریک های بلوغ (مثل TRL/TRL-like) و معیار ارزش (بازار/اثر/هزینه)</t>
  </si>
  <si>
    <t>آموزش طبقه بندی به متولیان + آزمون اعتبارسنجی (Inter-rater agreement)</t>
  </si>
  <si>
    <t>کنترل کیفی روی طبقه بندی های فعلی و اصلاح داده های رجیستری</t>
  </si>
  <si>
    <t>بازبینی ماهانه اختلاف نظر متولیان و انجام «بازبرچسب زنی» بر اساس شواهد جدید</t>
  </si>
  <si>
    <t>تعریف سیاست «انتقال مالکیت» و منافع/مشوق های واحدهای واگذارکننده</t>
  </si>
  <si>
    <t>طراحی قرارداد/فرآیند واگذاری (Asset Transfer Agreement) و شروط دسترسی</t>
  </si>
  <si>
    <t>پایلوت ارائه خدمات/گزارش عمومی برای نشان دادن کیفیت</t>
  </si>
  <si>
    <t>مانیتورینگ ماهانه NPS/شکایات/بازخورد عمومی + جلسات اصلاحی سریع (Crisis Playbook)</t>
  </si>
  <si>
    <t>تعریف SLA خدمات پشتیبانی، معیارهای کیفیت و زمان پاسخ (Response Time)</t>
  </si>
  <si>
    <t>طراحی سیستم تیکت/ردیابی خطا و ثبت علت ریشه ای (RCA)</t>
  </si>
  <si>
    <t>آموزش تیم پشتیبانی و اجرای تست آمادگی برای دارایی های منتخب</t>
  </si>
  <si>
    <t>مانیتورینگ ماهانه: شاخص های KPI (کیفیت/به موقع بودن/تعداد خطا) + بازنگری فرایندها و برنامه ظرفیت</t>
  </si>
  <si>
    <t>ممیزی استانداردها و تعیین شکاف «نسخه فعلی vs استاندارد بازار هدف»</t>
  </si>
  <si>
    <t>ایجاد Roadmap استانداردسازی برای دارایی های پرریسک</t>
  </si>
  <si>
    <t>انتخاب یک دارایی برای پایلوت استانداردسازی کم هزینه/سریع</t>
  </si>
  <si>
    <t>مانیتورینگ ماهانه هزینه/تأخیر استانداردسازی و اجرای کنترل تغییر (Change Control)</t>
  </si>
  <si>
    <t>تدوین چک لیست Due Diligence فنی و مالی (سوابق، توان تحویل، صورت های مالی/اعتبار)</t>
  </si>
  <si>
    <t>الزام اخذ گزارش اعتبارسنجی و اعتبارسنجی مستقل (در حد امکان)</t>
  </si>
  <si>
    <t>اجرای ارزیابی روی شریک های منتخب و دسته بندی (Tier بندی)</t>
  </si>
  <si>
    <t>مانیتورینگ ماهانه «شاخص های عملکرد شریک» و بازنگری ادامه همکاری بر اساس KPI</t>
  </si>
  <si>
    <t>استانداردسازی قالب قرارداد مشارکت (IP Ownership، License، حق استفاده، Background/Foreground IP)</t>
  </si>
  <si>
    <t>بررسی حقوقی دو مرحله ای + چک لیست تضامین/ضمانت اجرا</t>
  </si>
  <si>
    <t>مذاکره و نهایی سازی بندهای کلیدی روی پروژه های در حال انعقاد</t>
  </si>
  <si>
    <t>بازبینی ماهانه تطابق قرارداد با وضعیت پیشرفت و ثبت تغییرات/الحاقیه ها</t>
  </si>
  <si>
    <t>تعریف «Objective Alignment» و خروجی های مشترک (Shared Outcomes)</t>
  </si>
  <si>
    <t>طراحی داشبورد KPI مشترک و سازوکار حل اختلاف (Escalation Path)</t>
  </si>
  <si>
    <t>اجرای توافق بر مبنای OKR برای فازهای کاری (با نقاط بازبینی)</t>
  </si>
  <si>
    <t>جلسه ماهانه هم راستا سازی + ارزیابی انحراف و فعال سازی بندهای بازنگری/خروج در صورت عدم هم راستایی</t>
  </si>
  <si>
    <t>تعریف نقشه دانش (Knowledge Map) و طبقه بندی موضوعی</t>
  </si>
  <si>
    <t>راه اندازی نظام یکپارچه: مخزن دانش، تگ گذاری، کنترل کیفیت محتوا</t>
  </si>
  <si>
    <t>مهاجرت/یکپارچه سازی حداقل ۳۰٪ مستندات کلیدی</t>
  </si>
  <si>
    <t>مانیتورینگ ماهانه: درصد پوشش دانش، زمان بازیابی، شاخص استفاده/ارجاع (citation/internal reuse)</t>
  </si>
  <si>
    <t>شناسایی Critical Knowledge و تعیین «متولی دوم (Backup Owner)»</t>
  </si>
  <si>
    <t>برنامه انتقال دانش (Knowledge Transfer Plan) برای حوزه های وابسته</t>
  </si>
  <si>
    <t>مستندسازی اجباری خروجی های حیاتی و ایجاد playbook</t>
  </si>
  <si>
    <t>مانیتورینگ ماهانه: وضعیت تکمیل مستندات + تست های جانشین پروری (Shadowing/SOP اجرای آزمایشی)</t>
  </si>
  <si>
    <t>تعریف استاندارد اعتبارسنجی (Data Quality، روش شناسی، مرور همتراز)</t>
  </si>
  <si>
    <t>ایجاد فرآیند Review دو مرحله ای (Scientific/Practical Review)</t>
  </si>
  <si>
    <t>پایلوت انتشار/استفاده در یک پروژه تصمیم ساز</t>
  </si>
  <si>
    <t>مانیتورینگ ماهانه: نرخ رد/اصلاح محتوا + شاخص «استفاده واقعی در تصمیم ها/پروژه ها»</t>
  </si>
  <si>
    <t>ایجاد مدل جریان نقدی ماهانه (Cash Forecast) و سناریونویسی (Base/Downside)</t>
  </si>
  <si>
    <t>سیاست اعتباری/شرایط پرداخت برای مشتریان و قراردادهای پیش پرداخت/ضمانت</t>
  </si>
  <si>
    <t>تدوین برنامه حداقل ذخیره نقدی و اولویت بندی هزینه ها</t>
  </si>
  <si>
    <t>مانیتورینگ ماهانه: DSO، اختلاف پیش بینی/واقعی، و فعال سازی اقدامات اضطراری (کاهش هزینه/توافق تسویه/تاخیر هوشمند)</t>
  </si>
  <si>
    <t>تعریف «استاندارد کیفیت ارتباط برند» و سیاست پاسخ به ادعا/شکایت</t>
  </si>
  <si>
    <t>ایجاد پروتکل رسانه/گزارش دهی و ماتریس ریسک شهرت</t>
  </si>
  <si>
    <t>تأثیر</t>
  </si>
  <si>
    <t>طبقه بندی</t>
  </si>
  <si>
    <t>سطح فعلی ریسک</t>
  </si>
  <si>
    <t>سطح هدف ریسک</t>
  </si>
  <si>
    <t>سطح ریسک فعلی</t>
  </si>
  <si>
    <t>تعداد</t>
  </si>
  <si>
    <t>وضعیت اقدامات</t>
  </si>
  <si>
    <t>میانگین پیشرفت (%)</t>
  </si>
  <si>
    <t>کل اقدامات</t>
  </si>
  <si>
    <t>میانگین پیشرفت</t>
  </si>
  <si>
    <t>سطح ریسک هدف</t>
  </si>
  <si>
    <t>Opp. Value</t>
  </si>
  <si>
    <t>Risk Value</t>
  </si>
  <si>
    <t>Value</t>
  </si>
  <si>
    <t>Remainder</t>
  </si>
  <si>
    <t>x</t>
  </si>
  <si>
    <t>y</t>
  </si>
  <si>
    <t>محتمل</t>
  </si>
  <si>
    <t>مکرر</t>
  </si>
  <si>
    <t>مدت زمان</t>
  </si>
  <si>
    <t>درصد وزنی</t>
  </si>
  <si>
    <t>پیشرفت فیزیکی</t>
  </si>
  <si>
    <t>KH-RISK-1</t>
  </si>
  <si>
    <t>KH-RISK-2</t>
  </si>
  <si>
    <t>KH-RISK-3</t>
  </si>
  <si>
    <t>KH-RISK-4</t>
  </si>
  <si>
    <t>KH-RISK-5</t>
  </si>
  <si>
    <t>KH-RISK-6</t>
  </si>
  <si>
    <t>KH-RISK-7</t>
  </si>
  <si>
    <t>KH-RISK-8</t>
  </si>
  <si>
    <t>KH-RISK-9</t>
  </si>
  <si>
    <t>KH-RISK-10</t>
  </si>
  <si>
    <t>KH-RISK-11</t>
  </si>
  <si>
    <t>KH-RISK-12</t>
  </si>
  <si>
    <t>KH-RISK-13</t>
  </si>
  <si>
    <t>KH-RISK-14</t>
  </si>
  <si>
    <t>KH-RISK-15</t>
  </si>
  <si>
    <t>KH-RISK-16</t>
  </si>
  <si>
    <t>KH-RISK-17</t>
  </si>
  <si>
    <t>KH-RISK-18</t>
  </si>
  <si>
    <t>KH-RISK-19</t>
  </si>
  <si>
    <t>KH-RISK-20</t>
  </si>
  <si>
    <t>KH-RISK-21</t>
  </si>
  <si>
    <t>KH-RISK-22</t>
  </si>
  <si>
    <t>مثبت</t>
  </si>
  <si>
    <t>تجربه مفید مدیرعامل در اکوسیستم دانشگاهی</t>
  </si>
  <si>
    <t>شناسایی و تبدیل خروجی‌های علمی و پژوهشی به راهکار قابل عرضه</t>
  </si>
  <si>
    <t>ایجاد جریان درآمدی جدید و افزایش ارزش افزوده دانش</t>
  </si>
  <si>
    <t>سابقه کار اجرایی مدیران ارشد در صنعت پتروشیمی</t>
  </si>
  <si>
    <t>استفاده از تجربه عملی مدیران ارشد در مدیریت پروژه و تصمیم‌گیری تجاری</t>
  </si>
  <si>
    <t>افزایش کیفیت ارزیابی پروژه‌ها، بهبود اجرا و تسهیل تجاری‌سازی</t>
  </si>
  <si>
    <t>هم‌افزایی تجربه صنعتی و دانش دانشگاهی</t>
  </si>
  <si>
    <t>ترکیب تجربه اجرایی صنعتی مدیران با دانش پژوهشی و دانشگاهی</t>
  </si>
  <si>
    <t>افزایش اثربخشی پروژه‌ها و کاهش فاصله ایده تا اجرا</t>
  </si>
  <si>
    <t>پتانسیل توسعه جریان‌های درآمدی جدید بواسطه نوآورانه بودن طرح کسب‌وکار خوارزمی</t>
  </si>
  <si>
    <t>ماهیت جدید و نوآورانه طرح‌های کسب‌وکار خوارزمی و پتانسیل آن‌ها برای بازارهای جدید</t>
  </si>
  <si>
    <t>ایجاد جریان‌های درآمدی تازه و متنوع، افزایش سودآوری و کاهش ریسک وابستگی به درآمدهای سنتی</t>
  </si>
  <si>
    <t>ماتریس واکنش به ریسک</t>
  </si>
  <si>
    <t>اجتناب</t>
  </si>
  <si>
    <t>انتقال</t>
  </si>
  <si>
    <t>کاهش</t>
  </si>
  <si>
    <t>پذیرش</t>
  </si>
  <si>
    <t>بهره برداری</t>
  </si>
  <si>
    <t>اشتراک گذاری</t>
  </si>
  <si>
    <t>افزایش/تقویت</t>
  </si>
  <si>
    <t>ردیف</t>
  </si>
  <si>
    <t>شرح واکنش</t>
  </si>
  <si>
    <t>نوع ریسک</t>
  </si>
  <si>
    <t>پذیرش فعال</t>
  </si>
  <si>
    <t>توضیحات</t>
  </si>
  <si>
    <t>بهره‌برداری (Exploit)</t>
  </si>
  <si>
    <t>شرح ریسک مثبت</t>
  </si>
  <si>
    <t>اشتراک‌گذاری (Share)</t>
  </si>
  <si>
    <t>اقدام</t>
  </si>
  <si>
    <t>اختصاص بهترین تیم فنی و منابع مالی اختصاصی به این پروژه تا اطمینان حاصل شود که این فرصت حتماً به درآمد یا صرفه‌جویی تبدیل می‌شود.</t>
  </si>
  <si>
    <t>کاربرد در خوارزمی</t>
  </si>
  <si>
    <t>فرض کنید فرصتی برای اجرای یک پروژه مطالعاتی نوآورانه با همکاری یک دانشگاه معتبر وجود دارد.</t>
  </si>
  <si>
    <t>این استراتژی زمانی استفاده می‌شود که سازمان می‌خواهد قطعیتِ رخ دادنِ فرصت** را به ۱۰۰٪ برساند. در اینجا شما به دنبال «ربودن» فرصت هستید.</t>
  </si>
  <si>
    <t>وقتی سازمان به تنهایی نمی‌تواند از تمام ظرفیت یک فرصت استفاده کند یا برای استفاده بهتر نیاز به دانش مکمل دارد، از این استراتژی استفاده می‌شود.</t>
  </si>
  <si>
    <t>در بخش «درآمد حاصل از مشارکت» یا «فروش خدمات اکوسیستم نوآوری».</t>
  </si>
  <si>
    <t>ایجاد مشارکت با یک شرکت فناور دیگر (Joint Venture) برای اجرای پروژه‌ای که سودآوری بالایی دارد، به‌طوری‌که هم خوارزمی و هم شریکش از آن سود ببرند. تقسیم ریسک و سود، شانس موفقیت را افزایش می‌دهد.</t>
  </si>
  <si>
    <t>افزایش/تقویت (Enhance)</t>
  </si>
  <si>
    <t>اگر نمی‌توانید وقوع فرصت را تضمین کنید، هدف این است که احتمال وقوع یا میزان تأثیر مثبت آن را افزایش دهید.</t>
  </si>
  <si>
    <t>در «صرفه‌جویی ارزش‌گذاری‌شده داخلی».</t>
  </si>
  <si>
    <t>برای اینکه صرفه‌جویی حاصل از استفاده از تجهیزات فعلی بجای خرید تجهیزات جدید افزایش یابد، واحد مالی می‌تواند با بهبود فرآیندهای نگهداری و تعمیرات (HSE)، نرخ در دسترس بودن تجهیزات را افزایش دهد تا آن «صرفه‌جویی» بزرگتر شود.</t>
  </si>
  <si>
    <t>پذیرش فعال (Accept)</t>
  </si>
  <si>
    <t>گاهی اوقات یک فرصت پیش می‌آید که انجام اقدام پیشگیرانه برای آن هزینه بیشتری از سودش دارد. در اینجا شما فرصت را «می‌پذیرید» اما برای بهره‌برداری از آن «آمادگی» دارید.</t>
  </si>
  <si>
    <t>نوسانات مثبت در بازار لایسنس‌دهی بیرونی.</t>
  </si>
  <si>
    <t>سازمان استراتژی مشخصی برای آن ندارد، اما اگر فرصتی پیش آمد، تیم فروش و قراردادها آماده است که سریعاً وارد عمل شده و از آن سود کسب کند.</t>
  </si>
  <si>
    <t>واکنش</t>
  </si>
  <si>
    <t>شناسایی و تدوین لیست اولویت‌دار مراکز دانشگاهی و پروژه‌های کلیدی</t>
  </si>
  <si>
    <t>فروردین تا خرداد</t>
  </si>
  <si>
    <t>برگزاری جلسات سطح بالا با رؤسای دانشگاه‌ها و مراکز جهت جذب پروژه‌ها</t>
  </si>
  <si>
    <t>تیر تا  شهریور</t>
  </si>
  <si>
    <t>نهایی‌سازی تفاهم‌نامه‌های همکاری و جذب رسمی پروژه‌های دانش‌بنیان</t>
  </si>
  <si>
    <t>مهر تا آذر</t>
  </si>
  <si>
    <t xml:space="preserve"> دی تا اسفند</t>
  </si>
  <si>
    <t>آغاز عملیاتی پروژه‌ها و پایش پیشرفت آن‌ها</t>
  </si>
  <si>
    <t>تشکیل کمیته راهبری فنی با حضور مدیران ارشد</t>
  </si>
  <si>
    <t>تدوین چک‌لیست‌های ارزیابی پروژه بر اساس تجارب مدیران</t>
  </si>
  <si>
    <t xml:space="preserve"> فروردین تا اردیبهشت</t>
  </si>
  <si>
    <t xml:space="preserve">  خرداد تا مرداد</t>
  </si>
  <si>
    <t>شهریور تا آبان</t>
  </si>
  <si>
    <t xml:space="preserve"> آذر تا اسفند</t>
  </si>
  <si>
    <t>برگزاری جلسات انتقال تجربه و بازبینی مدل‌های تجاری‌سازی</t>
  </si>
  <si>
    <t>ارزیابی مستمر پروژه‌های جاری و اعمال اصلاحات استراتژیک.</t>
  </si>
  <si>
    <t xml:space="preserve"> تیر تا مهر</t>
  </si>
  <si>
    <t xml:space="preserve"> آبان تا دی</t>
  </si>
  <si>
    <t xml:space="preserve"> بهمن تا اسفند</t>
  </si>
  <si>
    <t>مستندسازی دستاوردها و تکرار مدل در سایر پروژه‌ها.</t>
  </si>
  <si>
    <t>پایش هم‌افزایی و گزارش میزان کاهش فاصله ایده تا اجرا.</t>
  </si>
  <si>
    <t>تعریف پروژه‌های پایلوت و تخصیص منابع انسانی از هر دو بخش (دانشگاهی و صنعتی).</t>
  </si>
  <si>
    <t>فراخوان برای تشکیل کارگروه‌های مشترک صنعت و دانشگاه.</t>
  </si>
  <si>
    <t>پایش دائمی بازارهای هدف برای شناسایی تقاضاهای جدید</t>
  </si>
  <si>
    <t>بررسی دوره‌ای مدل‌های درآمدی در جلسات هیئت‌مدیره.</t>
  </si>
  <si>
    <t>اختصاص بودجه احتیاطی (بافر) برای ورود سریع به فرصت‌های شناسایی شده</t>
  </si>
  <si>
    <t>تحلیل نهایی میزان تحقق درآمدها و بازنگری در طرح کسب‌وکار</t>
  </si>
  <si>
    <t>خلاصه ریسک‌ها منفی</t>
  </si>
  <si>
    <t>خلاصه ریسک‌ها مثبت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</si>
</sst>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theme="4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9" fontId="0" fillId="0" borderId="0" xfId="1" applyFon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9" fontId="0" fillId="0" borderId="1" xfId="1" applyFont="1" applyBorder="1"/>
    <xf numFmtId="9" fontId="1" fillId="2" borderId="5" xfId="1" applyFont="1" applyFill="1" applyBorder="1" applyAlignment="1">
      <alignment horizontal="center" vertical="center"/>
    </xf>
    <xf numFmtId="9" fontId="0" fillId="0" borderId="8" xfId="1" applyFont="1" applyBorder="1"/>
    <xf numFmtId="0" fontId="0" fillId="3" borderId="1" xfId="0" applyFont="1" applyFill="1" applyBorder="1"/>
    <xf numFmtId="0" fontId="0" fillId="4" borderId="1" xfId="0" applyFont="1" applyFill="1" applyBorder="1"/>
    <xf numFmtId="164" fontId="0" fillId="0" borderId="1" xfId="0" applyNumberFormat="1" applyBorder="1"/>
    <xf numFmtId="9" fontId="0" fillId="0" borderId="0" xfId="0" applyNumberFormat="1"/>
    <xf numFmtId="9" fontId="0" fillId="0" borderId="5" xfId="1" applyFont="1" applyBorder="1"/>
    <xf numFmtId="0" fontId="0" fillId="0" borderId="0" xfId="0" applyFill="1" applyBorder="1"/>
    <xf numFmtId="0" fontId="0" fillId="0" borderId="0" xfId="0" applyAlignment="1"/>
    <xf numFmtId="0" fontId="2" fillId="0" borderId="1" xfId="0" applyFont="1" applyBorder="1" applyAlignment="1"/>
    <xf numFmtId="0" fontId="0" fillId="0" borderId="1" xfId="0" applyBorder="1" applyAlignment="1"/>
    <xf numFmtId="0" fontId="0" fillId="0" borderId="1" xfId="0" applyFill="1" applyBorder="1"/>
    <xf numFmtId="0" fontId="0" fillId="0" borderId="5" xfId="0" applyBorder="1"/>
    <xf numFmtId="0" fontId="0" fillId="0" borderId="1" xfId="0" applyFont="1" applyFill="1" applyBorder="1"/>
    <xf numFmtId="0" fontId="0" fillId="0" borderId="1" xfId="0" applyNumberFormat="1" applyBorder="1"/>
    <xf numFmtId="2" fontId="6" fillId="0" borderId="3" xfId="1" applyNumberFormat="1" applyFont="1" applyBorder="1" applyAlignment="1">
      <alignment horizontal="centerContinuous"/>
    </xf>
    <xf numFmtId="2" fontId="6" fillId="0" borderId="2" xfId="0" applyNumberFormat="1" applyFont="1" applyBorder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9" fontId="6" fillId="0" borderId="3" xfId="1" applyFont="1" applyBorder="1" applyAlignment="1">
      <alignment horizontal="centerContinuous"/>
    </xf>
    <xf numFmtId="0" fontId="6" fillId="0" borderId="2" xfId="0" applyFont="1" applyBorder="1" applyAlignment="1">
      <alignment horizontal="centerContinuous"/>
    </xf>
    <xf numFmtId="2" fontId="7" fillId="0" borderId="3" xfId="1" applyNumberFormat="1" applyFont="1" applyBorder="1" applyAlignment="1">
      <alignment horizontal="centerContinuous"/>
    </xf>
    <xf numFmtId="2" fontId="7" fillId="0" borderId="2" xfId="0" applyNumberFormat="1" applyFont="1" applyBorder="1" applyAlignment="1">
      <alignment horizontal="centerContinuous"/>
    </xf>
    <xf numFmtId="0" fontId="7" fillId="0" borderId="1" xfId="0" applyFont="1" applyBorder="1" applyAlignment="1">
      <alignment horizontal="center" vertical="center"/>
    </xf>
    <xf numFmtId="9" fontId="7" fillId="0" borderId="3" xfId="1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0" fontId="6" fillId="0" borderId="1" xfId="0" applyFont="1" applyBorder="1"/>
    <xf numFmtId="9" fontId="6" fillId="0" borderId="1" xfId="1" applyFont="1" applyBorder="1"/>
    <xf numFmtId="0" fontId="7" fillId="0" borderId="1" xfId="0" applyFont="1" applyBorder="1"/>
    <xf numFmtId="9" fontId="7" fillId="0" borderId="1" xfId="1" applyFont="1" applyBorder="1"/>
    <xf numFmtId="9" fontId="7" fillId="0" borderId="0" xfId="1" applyFont="1"/>
    <xf numFmtId="9" fontId="6" fillId="0" borderId="0" xfId="1" applyFont="1"/>
    <xf numFmtId="0" fontId="0" fillId="0" borderId="1" xfId="0" applyBorder="1"/>
    <xf numFmtId="2" fontId="1" fillId="2" borderId="5" xfId="1" applyNumberFormat="1" applyFont="1" applyFill="1" applyBorder="1" applyAlignment="1">
      <alignment horizontal="center" vertical="center"/>
    </xf>
    <xf numFmtId="2" fontId="0" fillId="0" borderId="1" xfId="1" applyNumberFormat="1" applyFont="1" applyBorder="1"/>
    <xf numFmtId="2" fontId="0" fillId="0" borderId="0" xfId="1" applyNumberFormat="1" applyFont="1"/>
    <xf numFmtId="0" fontId="3" fillId="0" borderId="1" xfId="0" applyFont="1" applyBorder="1"/>
    <xf numFmtId="0" fontId="0" fillId="0" borderId="1" xfId="0" applyBorder="1"/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52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6042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6042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داشبورد!$A$1</c:f>
          <c:strCache>
            <c:ptCount val="1"/>
            <c:pt idx="0">
              <c:v>خلاصه ریسک‌ها منفی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5819959551031723"/>
          <c:y val="0.24698177685998468"/>
          <c:w val="0.63374766594119891"/>
          <c:h val="0.7507473682209157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8A-46F1-8196-CA38E36F5984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8A-46F1-8196-CA38E36F5984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8A-46F1-8196-CA38E36F598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C8A-46F1-8196-CA38E36F598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C8A-46F1-8196-CA38E36F5984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C8A-46F1-8196-CA38E36F5984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C8A-46F1-8196-CA38E36F5984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C8A-46F1-8196-CA38E36F5984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C8A-46F1-8196-CA38E36F5984}"/>
              </c:ext>
            </c:extLst>
          </c:dPt>
          <c:dPt>
            <c:idx val="9"/>
            <c:bubble3D val="0"/>
            <c:spPr>
              <a:noFill/>
              <a:ln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8A-46F1-8196-CA38E36F5984}"/>
              </c:ext>
            </c:extLst>
          </c:dPt>
          <c:dPt>
            <c:idx val="10"/>
            <c:bubble3D val="0"/>
            <c:spPr>
              <a:noFill/>
              <a:ln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8A-46F1-8196-CA38E36F5984}"/>
              </c:ext>
            </c:extLst>
          </c:dPt>
          <c:dLbls>
            <c:dLbl>
              <c:idx val="0"/>
              <c:layout>
                <c:manualLayout>
                  <c:x val="-0.12229629629629629"/>
                  <c:y val="-2.8222222222222221E-2"/>
                </c:manualLayout>
              </c:layout>
              <c:tx>
                <c:rich>
                  <a:bodyPr/>
                  <a:lstStyle/>
                  <a:p>
                    <a:fld id="{9B1A84C7-851D-474A-94E2-B6C5A3BF4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C8A-46F1-8196-CA38E36F5984}"/>
                </c:ext>
              </c:extLst>
            </c:dLbl>
            <c:dLbl>
              <c:idx val="1"/>
              <c:layout>
                <c:manualLayout>
                  <c:x val="-0.11288888888888889"/>
                  <c:y val="-6.8203703703703697E-2"/>
                </c:manualLayout>
              </c:layout>
              <c:tx>
                <c:rich>
                  <a:bodyPr/>
                  <a:lstStyle/>
                  <a:p>
                    <a:fld id="{06B2D397-0381-4DDD-8DFA-AECD9575B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8A-46F1-8196-CA38E36F5984}"/>
                </c:ext>
              </c:extLst>
            </c:dLbl>
            <c:dLbl>
              <c:idx val="2"/>
              <c:layout>
                <c:manualLayout>
                  <c:x val="-9.8777777777777756E-2"/>
                  <c:y val="-0.10348148148148148"/>
                </c:manualLayout>
              </c:layout>
              <c:tx>
                <c:rich>
                  <a:bodyPr/>
                  <a:lstStyle/>
                  <a:p>
                    <a:fld id="{6C73F97B-AB72-4105-A478-61C157717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8A-46F1-8196-CA38E36F5984}"/>
                </c:ext>
              </c:extLst>
            </c:dLbl>
            <c:dLbl>
              <c:idx val="3"/>
              <c:layout>
                <c:manualLayout>
                  <c:x val="-5.8796296296296298E-2"/>
                  <c:y val="-0.11994444444444445"/>
                </c:manualLayout>
              </c:layout>
              <c:tx>
                <c:rich>
                  <a:bodyPr/>
                  <a:lstStyle/>
                  <a:p>
                    <a:fld id="{8B349227-383D-4978-A5E5-E2C7C9D5A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C8A-46F1-8196-CA38E36F5984}"/>
                </c:ext>
              </c:extLst>
            </c:dLbl>
            <c:dLbl>
              <c:idx val="4"/>
              <c:layout>
                <c:manualLayout>
                  <c:x val="-7.0555555555555554E-3"/>
                  <c:y val="-0.127"/>
                </c:manualLayout>
              </c:layout>
              <c:tx>
                <c:rich>
                  <a:bodyPr/>
                  <a:lstStyle/>
                  <a:p>
                    <a:fld id="{F81B015A-D1F5-43FB-9335-255B82FE2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C8A-46F1-8196-CA38E36F5984}"/>
                </c:ext>
              </c:extLst>
            </c:dLbl>
            <c:dLbl>
              <c:idx val="5"/>
              <c:layout>
                <c:manualLayout>
                  <c:x val="4.2333333333333334E-2"/>
                  <c:y val="-0.12229629629629632"/>
                </c:manualLayout>
              </c:layout>
              <c:tx>
                <c:rich>
                  <a:bodyPr/>
                  <a:lstStyle/>
                  <a:p>
                    <a:fld id="{30852442-6213-41C0-AB54-C099A276E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C8A-46F1-8196-CA38E36F5984}"/>
                </c:ext>
              </c:extLst>
            </c:dLbl>
            <c:dLbl>
              <c:idx val="6"/>
              <c:layout>
                <c:manualLayout>
                  <c:x val="8.2314814814814813E-2"/>
                  <c:y val="-9.8777777777777784E-2"/>
                </c:manualLayout>
              </c:layout>
              <c:tx>
                <c:rich>
                  <a:bodyPr/>
                  <a:lstStyle/>
                  <a:p>
                    <a:fld id="{CC6F62D3-D574-4468-995C-950F8578E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C8A-46F1-8196-CA38E36F5984}"/>
                </c:ext>
              </c:extLst>
            </c:dLbl>
            <c:dLbl>
              <c:idx val="7"/>
              <c:layout>
                <c:manualLayout>
                  <c:x val="0.11994444444444445"/>
                  <c:y val="-6.3500000000000043E-2"/>
                </c:manualLayout>
              </c:layout>
              <c:tx>
                <c:rich>
                  <a:bodyPr/>
                  <a:lstStyle/>
                  <a:p>
                    <a:fld id="{E2584A53-4CF4-4728-B107-8AC03C714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C8A-46F1-8196-CA38E36F5984}"/>
                </c:ext>
              </c:extLst>
            </c:dLbl>
            <c:dLbl>
              <c:idx val="8"/>
              <c:layout>
                <c:manualLayout>
                  <c:x val="0.11994444444444445"/>
                  <c:y val="-2.8222222222222221E-2"/>
                </c:manualLayout>
              </c:layout>
              <c:tx>
                <c:rich>
                  <a:bodyPr/>
                  <a:lstStyle/>
                  <a:p>
                    <a:fld id="{C445B723-B1C9-4302-8323-C999A7A344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C8A-46F1-8196-CA38E36F598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8A-46F1-8196-CA38E36F59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'Gauge Charts'!$C$2:$C$11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'Gauge Charts'!$B$2:$B$11</c15:f>
                <c15:dlblRangeCache>
                  <c:ptCount val="1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C8A-46F1-8196-CA38E36F598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0"/>
        </c:dLbls>
        <c:firstSliceAng val="270"/>
        <c:holeSize val="68"/>
      </c:doughnutChart>
      <c:scatterChart>
        <c:scatterStyle val="smoothMarker"/>
        <c:varyColors val="0"/>
        <c:ser>
          <c:idx val="1"/>
          <c:order val="1"/>
          <c:tx>
            <c:v>Plan</c:v>
          </c:tx>
          <c:spPr>
            <a:ln cap="flat" cmpd="tri">
              <a:solidFill>
                <a:schemeClr val="bg1">
                  <a:lumMod val="50000"/>
                </a:schemeClr>
              </a:solidFill>
              <a:prstDash val="solid"/>
              <a:round/>
              <a:headEnd type="oval"/>
              <a:tailEnd type="triangle" w="lg" len="lg"/>
            </a:ln>
            <a:effectLst>
              <a:innerShdw blurRad="292100" dist="50800" dir="12780000">
                <a:schemeClr val="tx1">
                  <a:alpha val="37000"/>
                </a:schemeClr>
              </a:innerShdw>
              <a:softEdge rad="0"/>
            </a:effectLst>
          </c:spPr>
          <c:marker>
            <c:spPr>
              <a:noFill/>
              <a:ln>
                <a:noFill/>
              </a:ln>
              <a:effectLst>
                <a:innerShdw blurRad="292100" dist="50800" dir="12780000">
                  <a:schemeClr val="tx1">
                    <a:alpha val="37000"/>
                  </a:schemeClr>
                </a:innerShdw>
                <a:softEdge rad="0"/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 prst="relaxedInset"/>
                <a:bevelB prst="relaxedInset"/>
              </a:sp3d>
            </c:spPr>
          </c:marker>
          <c:xVal>
            <c:numRef>
              <c:f>'Gauge Charts'!$D$17:$D$18</c:f>
              <c:numCache>
                <c:formatCode>General</c:formatCode>
                <c:ptCount val="2"/>
                <c:pt idx="0">
                  <c:v>0</c:v>
                </c:pt>
                <c:pt idx="1">
                  <c:v>-0.84804809615642596</c:v>
                </c:pt>
              </c:numCache>
            </c:numRef>
          </c:xVal>
          <c:yVal>
            <c:numRef>
              <c:f>'Gauge Charts'!$E$17:$E$18</c:f>
              <c:numCache>
                <c:formatCode>General</c:formatCode>
                <c:ptCount val="2"/>
                <c:pt idx="0">
                  <c:v>0</c:v>
                </c:pt>
                <c:pt idx="1">
                  <c:v>0.5299192642332049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C8A-46F1-8196-CA38E36F5984}"/>
            </c:ext>
          </c:extLst>
        </c:ser>
        <c:ser>
          <c:idx val="2"/>
          <c:order val="2"/>
          <c:tx>
            <c:v>Actual</c:v>
          </c:tx>
          <c:spPr>
            <a:ln w="60325" cap="rnd">
              <a:solidFill>
                <a:schemeClr val="tx1"/>
              </a:solidFill>
              <a:prstDash val="sysDash"/>
              <a:round/>
              <a:tailEnd type="arrow"/>
            </a:ln>
          </c:spPr>
          <c:marker>
            <c:symbol val="none"/>
          </c:marker>
          <c:xVal>
            <c:numRef>
              <c:f>'Gauge Charts'!$B$17:$B$18</c:f>
              <c:numCache>
                <c:formatCode>General</c:formatCode>
                <c:ptCount val="2"/>
                <c:pt idx="0">
                  <c:v>0</c:v>
                </c:pt>
                <c:pt idx="1">
                  <c:v>-0.70710678118654757</c:v>
                </c:pt>
              </c:numCache>
            </c:numRef>
          </c:xVal>
          <c:yVal>
            <c:numRef>
              <c:f>'Gauge Charts'!$C$17:$C$18</c:f>
              <c:numCache>
                <c:formatCode>General</c:formatCode>
                <c:ptCount val="2"/>
                <c:pt idx="0">
                  <c:v>0</c:v>
                </c:pt>
                <c:pt idx="1">
                  <c:v>0.70710678118654746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49EC-40EF-B714-00BE72B9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568704"/>
        <c:axId val="1779567456"/>
      </c:scatterChart>
      <c:valAx>
        <c:axId val="1779567456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1779568704"/>
        <c:crosses val="autoZero"/>
        <c:crossBetween val="midCat"/>
      </c:valAx>
      <c:valAx>
        <c:axId val="1779568704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1779567456"/>
        <c:crosses val="autoZero"/>
        <c:crossBetween val="midCat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0765382738895974"/>
          <c:y val="0.94354188021692553"/>
          <c:w val="0.51147017617069901"/>
          <c:h val="4.2392183769792681E-2"/>
        </c:manualLayout>
      </c:layout>
      <c:overlay val="0"/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داشبورد!$A$12</c:f>
          <c:strCache>
            <c:ptCount val="1"/>
            <c:pt idx="0">
              <c:v>خلاصه ریسک‌ها مثبت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90600254007048"/>
          <c:y val="0.17100172611824338"/>
          <c:w val="0.70498225998707542"/>
          <c:h val="0.82725934046631511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49-4177-B35C-0864CCAD14D2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49-4177-B35C-0864CCAD14D2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49-4177-B35C-0864CCAD14D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49-4177-B35C-0864CCAD14D2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49-4177-B35C-0864CCAD14D2}"/>
              </c:ext>
            </c:extLst>
          </c:dPt>
          <c:dPt>
            <c:idx val="5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49-4177-B35C-0864CCAD14D2}"/>
              </c:ext>
            </c:extLst>
          </c:dPt>
          <c:dPt>
            <c:idx val="6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49-4177-B35C-0864CCAD14D2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49-4177-B35C-0864CCAD14D2}"/>
              </c:ext>
            </c:extLst>
          </c:dPt>
          <c:dPt>
            <c:idx val="8"/>
            <c:bubble3D val="0"/>
            <c:spPr>
              <a:solidFill>
                <a:schemeClr val="tx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49-4177-B35C-0864CCAD14D2}"/>
              </c:ext>
            </c:extLst>
          </c:dPt>
          <c:dPt>
            <c:idx val="9"/>
            <c:bubble3D val="0"/>
            <c:spPr>
              <a:noFill/>
              <a:ln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0449-4177-B35C-0864CCAD14D2}"/>
              </c:ext>
            </c:extLst>
          </c:dPt>
          <c:dPt>
            <c:idx val="10"/>
            <c:bubble3D val="0"/>
            <c:spPr>
              <a:noFill/>
              <a:ln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0449-4177-B35C-0864CCAD14D2}"/>
              </c:ext>
            </c:extLst>
          </c:dPt>
          <c:dLbls>
            <c:dLbl>
              <c:idx val="0"/>
              <c:layout>
                <c:manualLayout>
                  <c:x val="-0.12229629629629629"/>
                  <c:y val="-2.8222222222222221E-2"/>
                </c:manualLayout>
              </c:layout>
              <c:tx>
                <c:rich>
                  <a:bodyPr/>
                  <a:lstStyle/>
                  <a:p>
                    <a:fld id="{8D673A16-9504-478F-9380-F7250A969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449-4177-B35C-0864CCAD14D2}"/>
                </c:ext>
              </c:extLst>
            </c:dLbl>
            <c:dLbl>
              <c:idx val="1"/>
              <c:layout>
                <c:manualLayout>
                  <c:x val="-0.11288888888888889"/>
                  <c:y val="-6.8203703703703697E-2"/>
                </c:manualLayout>
              </c:layout>
              <c:tx>
                <c:rich>
                  <a:bodyPr/>
                  <a:lstStyle/>
                  <a:p>
                    <a:fld id="{29530A29-7898-4611-9370-A0904B099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49-4177-B35C-0864CCAD14D2}"/>
                </c:ext>
              </c:extLst>
            </c:dLbl>
            <c:dLbl>
              <c:idx val="2"/>
              <c:layout>
                <c:manualLayout>
                  <c:x val="-9.8777777777777756E-2"/>
                  <c:y val="-0.10348148148148148"/>
                </c:manualLayout>
              </c:layout>
              <c:tx>
                <c:rich>
                  <a:bodyPr/>
                  <a:lstStyle/>
                  <a:p>
                    <a:fld id="{C68F0DF7-0416-45F9-903C-76A697899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449-4177-B35C-0864CCAD14D2}"/>
                </c:ext>
              </c:extLst>
            </c:dLbl>
            <c:dLbl>
              <c:idx val="3"/>
              <c:layout>
                <c:manualLayout>
                  <c:x val="-5.8796296296296298E-2"/>
                  <c:y val="-0.11994444444444445"/>
                </c:manualLayout>
              </c:layout>
              <c:tx>
                <c:rich>
                  <a:bodyPr/>
                  <a:lstStyle/>
                  <a:p>
                    <a:fld id="{A1AAF353-5BC8-4190-BC3E-650B60729C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449-4177-B35C-0864CCAD14D2}"/>
                </c:ext>
              </c:extLst>
            </c:dLbl>
            <c:dLbl>
              <c:idx val="4"/>
              <c:layout>
                <c:manualLayout>
                  <c:x val="-7.0555555555555554E-3"/>
                  <c:y val="-0.127"/>
                </c:manualLayout>
              </c:layout>
              <c:tx>
                <c:rich>
                  <a:bodyPr/>
                  <a:lstStyle/>
                  <a:p>
                    <a:fld id="{3B9973BD-20C9-41FF-94C7-1A4FF3391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49-4177-B35C-0864CCAD14D2}"/>
                </c:ext>
              </c:extLst>
            </c:dLbl>
            <c:dLbl>
              <c:idx val="5"/>
              <c:layout>
                <c:manualLayout>
                  <c:x val="4.2333333333333334E-2"/>
                  <c:y val="-0.12229629629629632"/>
                </c:manualLayout>
              </c:layout>
              <c:tx>
                <c:rich>
                  <a:bodyPr/>
                  <a:lstStyle/>
                  <a:p>
                    <a:fld id="{93751053-56D4-4226-BE35-C8706E3B4C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449-4177-B35C-0864CCAD14D2}"/>
                </c:ext>
              </c:extLst>
            </c:dLbl>
            <c:dLbl>
              <c:idx val="6"/>
              <c:layout>
                <c:manualLayout>
                  <c:x val="8.2314814814814813E-2"/>
                  <c:y val="-9.8777777777777784E-2"/>
                </c:manualLayout>
              </c:layout>
              <c:tx>
                <c:rich>
                  <a:bodyPr/>
                  <a:lstStyle/>
                  <a:p>
                    <a:fld id="{28743B7A-2545-45AB-BCF4-831C5777BC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49-4177-B35C-0864CCAD14D2}"/>
                </c:ext>
              </c:extLst>
            </c:dLbl>
            <c:dLbl>
              <c:idx val="7"/>
              <c:layout>
                <c:manualLayout>
                  <c:x val="0.11994444444444445"/>
                  <c:y val="-6.3500000000000043E-2"/>
                </c:manualLayout>
              </c:layout>
              <c:tx>
                <c:rich>
                  <a:bodyPr/>
                  <a:lstStyle/>
                  <a:p>
                    <a:fld id="{9334050C-C9AE-4FB3-88CD-759D34409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449-4177-B35C-0864CCAD14D2}"/>
                </c:ext>
              </c:extLst>
            </c:dLbl>
            <c:dLbl>
              <c:idx val="8"/>
              <c:layout>
                <c:manualLayout>
                  <c:x val="0.11994444444444445"/>
                  <c:y val="-2.8222222222222221E-2"/>
                </c:manualLayout>
              </c:layout>
              <c:tx>
                <c:rich>
                  <a:bodyPr/>
                  <a:lstStyle/>
                  <a:p>
                    <a:fld id="{2A546EA2-1FC0-496A-A2C2-9B2D99ECA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449-4177-B35C-0864CCAD14D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449-4177-B35C-0864CCAD14D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'Gauge Charts'!$F$2:$F$11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'Gauge Charts'!$B$2:$B$11</c15:f>
                <c15:dlblRangeCache>
                  <c:ptCount val="1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449-4177-B35C-0864CCAD14D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0"/>
        </c:dLbls>
        <c:firstSliceAng val="270"/>
        <c:holeSize val="68"/>
      </c:doughnutChart>
      <c:scatterChart>
        <c:scatterStyle val="smoothMarker"/>
        <c:varyColors val="0"/>
        <c:ser>
          <c:idx val="1"/>
          <c:order val="1"/>
          <c:tx>
            <c:v>Plan</c:v>
          </c:tx>
          <c:spPr>
            <a:ln cap="flat" cmpd="tri">
              <a:solidFill>
                <a:schemeClr val="bg1">
                  <a:lumMod val="50000"/>
                </a:schemeClr>
              </a:solidFill>
              <a:prstDash val="solid"/>
              <a:round/>
              <a:headEnd type="oval"/>
              <a:tailEnd type="triangle" w="lg" len="lg"/>
            </a:ln>
            <a:effectLst>
              <a:innerShdw blurRad="292100" dist="50800" dir="12780000">
                <a:schemeClr val="tx1">
                  <a:alpha val="54000"/>
                </a:schemeClr>
              </a:innerShdw>
              <a:softEdge rad="0"/>
            </a:effectLst>
          </c:spPr>
          <c:marker>
            <c:spPr>
              <a:noFill/>
              <a:ln>
                <a:noFill/>
              </a:ln>
              <a:effectLst>
                <a:innerShdw blurRad="292100" dist="50800" dir="12780000">
                  <a:schemeClr val="tx1">
                    <a:alpha val="54000"/>
                  </a:schemeClr>
                </a:innerShdw>
                <a:softEdge rad="0"/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 prst="relaxedInset"/>
                <a:bevelB prst="relaxedInset"/>
              </a:sp3d>
            </c:spPr>
          </c:marker>
          <c:trendline>
            <c:trendlineType val="log"/>
            <c:dispRSqr val="0"/>
            <c:dispEq val="0"/>
          </c:trendline>
          <c:xVal>
            <c:numRef>
              <c:f>'Gauge Charts'!$H$17:$H$18</c:f>
              <c:numCache>
                <c:formatCode>General</c:formatCode>
                <c:ptCount val="2"/>
                <c:pt idx="0">
                  <c:v>0</c:v>
                </c:pt>
                <c:pt idx="1">
                  <c:v>-0.58778525229247303</c:v>
                </c:pt>
              </c:numCache>
            </c:numRef>
          </c:xVal>
          <c:yVal>
            <c:numRef>
              <c:f>'Gauge Charts'!$I$17:$I$18</c:f>
              <c:numCache>
                <c:formatCode>General</c:formatCode>
                <c:ptCount val="2"/>
                <c:pt idx="0">
                  <c:v>0</c:v>
                </c:pt>
                <c:pt idx="1">
                  <c:v>0.80901699437494745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449-4177-B35C-0864CCAD14D2}"/>
            </c:ext>
          </c:extLst>
        </c:ser>
        <c:ser>
          <c:idx val="2"/>
          <c:order val="2"/>
          <c:tx>
            <c:v>Actual</c:v>
          </c:tx>
          <c:spPr>
            <a:ln w="53975" cap="rnd">
              <a:solidFill>
                <a:schemeClr val="tx1"/>
              </a:solidFill>
              <a:prstDash val="sysDash"/>
              <a:round/>
              <a:tailEnd type="arrow" w="lg" len="med"/>
            </a:ln>
          </c:spPr>
          <c:marker>
            <c:symbol val="none"/>
          </c:marker>
          <c:xVal>
            <c:numRef>
              <c:f>'Gauge Charts'!$F$17:$F$18</c:f>
              <c:numCache>
                <c:formatCode>General</c:formatCode>
                <c:ptCount val="2"/>
                <c:pt idx="0">
                  <c:v>0</c:v>
                </c:pt>
                <c:pt idx="1">
                  <c:v>-0.80901699437494745</c:v>
                </c:pt>
              </c:numCache>
            </c:numRef>
          </c:xVal>
          <c:yVal>
            <c:numRef>
              <c:f>'Gauge Charts'!$G$17:$G$18</c:f>
              <c:numCache>
                <c:formatCode>General</c:formatCode>
                <c:ptCount val="2"/>
                <c:pt idx="0">
                  <c:v>0</c:v>
                </c:pt>
                <c:pt idx="1">
                  <c:v>0.58778525229247314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19C-4F5B-8F1D-ED52F201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568704"/>
        <c:axId val="1779567456"/>
      </c:scatterChart>
      <c:valAx>
        <c:axId val="1779567456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1779568704"/>
        <c:crosses val="autoZero"/>
        <c:crossBetween val="midCat"/>
      </c:valAx>
      <c:valAx>
        <c:axId val="1779568704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1779567456"/>
        <c:crosses val="autoZero"/>
        <c:crossBetween val="midCat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0128209553903367"/>
          <c:y val="0.94188134980642513"/>
          <c:w val="0.59547846879629063"/>
          <c:h val="4.3639010808803773E-2"/>
        </c:manualLayout>
      </c:layout>
      <c:overlay val="0"/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داشبورد!$F$2</c:f>
          <c:strCache>
            <c:ptCount val="1"/>
            <c:pt idx="0">
              <c:v>طبقه بندی ریسک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داشبورد!$F$3:$F$7</c:f>
              <c:strCache>
                <c:ptCount val="5"/>
                <c:pt idx="0">
                  <c:v>همکاری های بیرونی</c:v>
                </c:pt>
                <c:pt idx="1">
                  <c:v>پایداری و خدمات</c:v>
                </c:pt>
                <c:pt idx="2">
                  <c:v>حکمرانی</c:v>
                </c:pt>
                <c:pt idx="3">
                  <c:v>دارایی های داخلی</c:v>
                </c:pt>
                <c:pt idx="4">
                  <c:v>مرجعیت فکری</c:v>
                </c:pt>
              </c:strCache>
            </c:strRef>
          </c:cat>
          <c:val>
            <c:numRef>
              <c:f>داشبورد!$G$3:$G$7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7-4444-A078-3C16AEEB3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31991024"/>
        <c:axId val="2031999344"/>
      </c:barChart>
      <c:catAx>
        <c:axId val="203199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99344"/>
        <c:crosses val="autoZero"/>
        <c:auto val="1"/>
        <c:lblAlgn val="ctr"/>
        <c:lblOffset val="100"/>
        <c:noMultiLvlLbl val="0"/>
      </c:catAx>
      <c:valAx>
        <c:axId val="203199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توزیع</a:t>
            </a:r>
            <a:r>
              <a:rPr lang="fa-IR" baseline="0"/>
              <a:t> در ماه های سال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داشبورد!$A$47:$A$50</c:f>
              <c:strCache>
                <c:ptCount val="4"/>
                <c:pt idx="0">
                  <c:v>فروردین</c:v>
                </c:pt>
                <c:pt idx="1">
                  <c:v>اردیبهشت</c:v>
                </c:pt>
                <c:pt idx="2">
                  <c:v>خرداد</c:v>
                </c:pt>
                <c:pt idx="3">
                  <c:v>تیر تا اسفند</c:v>
                </c:pt>
              </c:strCache>
            </c:strRef>
          </c:cat>
          <c:val>
            <c:numRef>
              <c:f>داشبورد!$C$46:$C$49</c:f>
              <c:numCache>
                <c:formatCode>0%</c:formatCode>
                <c:ptCount val="4"/>
                <c:pt idx="0">
                  <c:v>0.23978201634877383</c:v>
                </c:pt>
                <c:pt idx="1">
                  <c:v>0.24250681198910082</c:v>
                </c:pt>
                <c:pt idx="2">
                  <c:v>0.23160762942779292</c:v>
                </c:pt>
                <c:pt idx="3">
                  <c:v>0.28610354223433243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48FA-AFD4-958536B651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75117344"/>
        <c:axId val="1775120672"/>
      </c:barChart>
      <c:catAx>
        <c:axId val="177511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20672"/>
        <c:crosses val="autoZero"/>
        <c:auto val="1"/>
        <c:lblAlgn val="ctr"/>
        <c:lblOffset val="100"/>
        <c:noMultiLvlLbl val="0"/>
      </c:catAx>
      <c:valAx>
        <c:axId val="1775120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654845</xdr:colOff>
      <xdr:row>0</xdr:row>
      <xdr:rowOff>0</xdr:rowOff>
    </xdr:from>
    <xdr:to>
      <xdr:col>14</xdr:col>
      <xdr:colOff>369095</xdr:colOff>
      <xdr:row>27</xdr:row>
      <xdr:rowOff>178593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8C633-4E93-4FC0-A75D-7C475689D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7369970" cy="526256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881D6-7B09-4A40-A0F1-54047D12E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6</xdr:col>
      <xdr:colOff>488157</xdr:colOff>
      <xdr:row>30</xdr:row>
      <xdr:rowOff>92869</xdr:rowOff>
    </xdr:from>
    <xdr:to>
      <xdr:col>12</xdr:col>
      <xdr:colOff>595314</xdr:colOff>
      <xdr:row>43</xdr:row>
      <xdr:rowOff>35719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5189FE-195E-4920-97DA-8907453B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57151</xdr:rowOff>
    </xdr:from>
    <xdr:to>
      <xdr:col>5</xdr:col>
      <xdr:colOff>714374</xdr:colOff>
      <xdr:row>44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5F9157-1794-4825-B1D5-71AE13FD1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26DF3B-8920-4BF9-94A0-F240CA5EEDFB}" name="r_detect" displayName="r_detect" ref="A1:F23" totalsRowShown="0" headerRowDxfId="51" headerRowBorderDxfId="50" tableBorderDxfId="49" totalsRowBorderDxfId="48">
  <autoFilter ref="A1:F23" xr:uid="{D226DF3B-8920-4BF9-94A0-F240CA5EEDFB}"/>
  <tableColumns count="6">
    <tableColumn id="1" xr3:uid="{36CBAC88-8F7B-49AA-9F00-E3D083A32B34}" name="کد ساختار شکست" dataDxfId="47"/>
    <tableColumn id="2" xr3:uid="{12FDB3D1-42AD-4CE2-8D38-1E23DC9A4421}" name="شرح ریسک" dataDxfId="46"/>
    <tableColumn id="3" xr3:uid="{E7C4CCBD-A77A-4515-8851-E46842D52C1E}" name="رویداد" dataDxfId="45"/>
    <tableColumn id="4" xr3:uid="{DACCAE02-8849-409D-B165-545ADC1B3263}" name="پیامد" dataDxfId="44"/>
    <tableColumn id="5" xr3:uid="{06C73283-4366-4FB1-A714-190ADB75CEA4}" name="طبقه بندی ریسک" dataDxfId="43"/>
    <tableColumn id="6" xr3:uid="{359B9DA5-9B4C-4A83-9682-3829CE345C08}" name="تأثیر پیامد بر اهداف" dataDxfId="4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378043-372A-4956-9C1E-FB9750FF7030}" name="r_measure" displayName="r_measure" ref="A1:G23" totalsRowShown="0" headerRowDxfId="41" headerRowBorderDxfId="40" tableBorderDxfId="39" totalsRowBorderDxfId="38">
  <autoFilter ref="A1:G23" xr:uid="{F4378043-372A-4956-9C1E-FB9750FF7030}"/>
  <tableColumns count="7">
    <tableColumn id="1" xr3:uid="{518E7BE2-6342-433A-8A16-C7BF770A1389}" name="شناسه ریسک" dataDxfId="37"/>
    <tableColumn id="2" xr3:uid="{DAD924A0-B27F-45A5-A6A9-8D249A29747F}" name="شرح ریسک" dataDxfId="36">
      <calculatedColumnFormula>INDEX(r_detect[شرح ریسک],MATCH(r_measure[[#This Row],[شناسه ریسک]],r_detect[کد ساختار شکست],0))</calculatedColumnFormula>
    </tableColumn>
    <tableColumn id="3" xr3:uid="{D890303E-85F0-4278-9541-BF4397DC6069}" name="شدت اثر فعلی" dataDxfId="35"/>
    <tableColumn id="4" xr3:uid="{89DD3D5D-9841-4DB1-B7C7-6276E8156FCF}" name="احتمال وقوع فعلی" dataDxfId="34"/>
    <tableColumn id="5" xr3:uid="{F6409408-EE21-4FE2-95FA-A4B1B0A095C6}" name="شدت اثر هدف" dataDxfId="33"/>
    <tableColumn id="6" xr3:uid="{413738A6-95CD-4CBA-B8B4-4F4785AACC69}" name="احتمال وقوع هدف" dataDxfId="32"/>
    <tableColumn id="7" xr3:uid="{5A52DED4-BD6E-47E6-8769-C3AA9DFD92E1}" name="واکنش" dataDxfId="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0857C7-E860-4D31-8F26-4CDCAD818868}" name="r_actions" displayName="r_actions" ref="A1:J89" totalsRowShown="0" headerRowDxfId="28" headerRowBorderDxfId="27" tableBorderDxfId="26" totalsRowBorderDxfId="25">
  <autoFilter ref="A1:J89" xr:uid="{920857C7-E860-4D31-8F26-4CDCAD818868}"/>
  <tableColumns count="10">
    <tableColumn id="1" xr3:uid="{110C3110-505B-44AA-B11F-972E133A9D83}" name="شناسه ریسک" dataDxfId="24"/>
    <tableColumn id="2" xr3:uid="{EFFB42D5-1045-4EEB-A612-960C64593F6F}" name="شرح اقدام" dataDxfId="23"/>
    <tableColumn id="3" xr3:uid="{36B1F7C9-828F-4F80-B2AF-6794E46A8CFD}" name="ماه/بازه" dataDxfId="22"/>
    <tableColumn id="4" xr3:uid="{EC3323CA-3FB8-4E11-914E-F953AE548CBA}" name="تاریخ شروع" dataDxfId="21"/>
    <tableColumn id="5" xr3:uid="{1E9348F6-1999-48C7-A134-9C7451F4E6A8}" name="تاریخ پایان" dataDxfId="20"/>
    <tableColumn id="6" xr3:uid="{A76BCF1B-D81B-4FD1-BA99-BDAB104A4AB1}" name="پیشرفت اجرا (%)" dataDxfId="19" dataCellStyle="Percent"/>
    <tableColumn id="7" xr3:uid="{B60DBDD1-5ABA-4976-B0AA-17EFAD6C8EBC}" name="اهمیت (1-10)" dataDxfId="18"/>
    <tableColumn id="8" xr3:uid="{96F26B61-C068-4BD4-8721-4760A867A9FD}" name="مدت زمان" dataDxfId="17">
      <calculatedColumnFormula>r_actions[[#This Row],[تاریخ پایان]]-r_actions[[#This Row],[تاریخ شروع]]</calculatedColumnFormula>
    </tableColumn>
    <tableColumn id="9" xr3:uid="{DEBCBBBC-B82A-47EE-BBB0-B5388CD28886}" name="درصد وزنی" dataDxfId="16" dataCellStyle="Percent">
      <calculatedColumnFormula>r_actions[[#This Row],[مدت زمان]]/365</calculatedColumnFormula>
    </tableColumn>
    <tableColumn id="10" xr3:uid="{F60039B0-DD25-4921-962E-358C3D845F84}" name="پیشرفت فیزیکی" dataDxfId="15">
      <calculatedColumnFormula>r_actions[[#This Row],[درصد وزنی]]*r_actions[[#This Row],[پیشرفت اجرا (%)]]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EEE5A-EC9D-4EC3-8BF6-D450FF95E0AB}" name="Table1" displayName="Table1" ref="A1:K23" totalsRowShown="0" headerRowDxfId="14" headerRowBorderDxfId="13" tableBorderDxfId="12" totalsRowBorderDxfId="11">
  <autoFilter ref="A1:K23" xr:uid="{7E6EEE5A-EC9D-4EC3-8BF6-D450FF95E0AB}"/>
  <tableColumns count="11">
    <tableColumn id="1" xr3:uid="{4CEF9FD9-5A65-49E4-97D3-10835300447C}" name="شناسه ریسک" dataDxfId="10"/>
    <tableColumn id="2" xr3:uid="{371CFE80-DDF2-4FCD-BC90-274B17B1C63D}" name="شرح ریسک" dataDxfId="9">
      <calculatedColumnFormula>INDEX(r_detect[شرح ریسک],MATCH(Table1[[#This Row],[شناسه ریسک]],r_detect[کد ساختار شکست],0))</calculatedColumnFormula>
    </tableColumn>
    <tableColumn id="3" xr3:uid="{0361AEF3-9A5B-415C-9DF5-DD80F8F5F1CF}" name="تأثیر" dataDxfId="8"/>
    <tableColumn id="4" xr3:uid="{175E7EE3-6255-402E-904A-2E7EFF21F28D}" name="طبقه بندی" dataDxfId="7"/>
    <tableColumn id="5" xr3:uid="{2883670A-24FB-410D-BCF9-3FFD7CA30DED}" name="شدت اثر فعلی" dataDxfId="6">
      <calculatedColumnFormula>INDEX(r_measure[شدت اثر فعلی],MATCH(Table1[[#This Row],[شناسه ریسک]],r_measure[شناسه ریسک],0))</calculatedColumnFormula>
    </tableColumn>
    <tableColumn id="6" xr3:uid="{4AFA59E1-D1B4-4D37-B7EA-572F85F36137}" name="احتمال وقوع فعلی" dataDxfId="5">
      <calculatedColumnFormula>INDEX(r_measure[احتمال وقوع فعلی],MATCH(Table1[[#This Row],[شناسه ریسک]],r_measure[شناسه ریسک],0))</calculatedColumnFormula>
    </tableColumn>
    <tableColumn id="7" xr3:uid="{26AF2457-D021-4707-B8C7-95898EB32650}" name="سطح فعلی ریسک" dataDxfId="4">
      <calculatedColumnFormula>INDEX('Heat Map'!$B$3:$F$7, MATCH(E2,'Heat Map'!$A$3:$A$7, 0), MATCH(F2,'Heat Map'!$B$2:$F$2, 0))</calculatedColumnFormula>
    </tableColumn>
    <tableColumn id="8" xr3:uid="{4BED75B7-C8D6-4C5E-B956-9DC0686F0CB0}" name="شدت اثر هدف" dataDxfId="3">
      <calculatedColumnFormula>INDEX(r_measure[شدت اثر هدف],MATCH(Table1[[#This Row],[شناسه ریسک]],r_measure[شناسه ریسک],0))</calculatedColumnFormula>
    </tableColumn>
    <tableColumn id="9" xr3:uid="{080832DB-DF91-4D61-A0F3-E999A2D7B2FB}" name="احتمال وقوع هدف" dataDxfId="2">
      <calculatedColumnFormula>INDEX(r_measure[احتمال وقوع هدف],MATCH(Table1[[#This Row],[شناسه ریسک]],r_measure[شناسه ریسک],0))</calculatedColumnFormula>
    </tableColumn>
    <tableColumn id="10" xr3:uid="{49AD0802-F1E4-4949-877E-502E3DC9BEAC}" name="سطح هدف ریسک" dataDxfId="1">
      <calculatedColumnFormula>INDEX('Heat Map'!$B$3:$F$7, MATCH(H2,'Heat Map'!$A$11:$A$15, 0), MATCH(I2,'Heat Map'!$B$10:$F$10, 0))</calculatedColumnFormula>
    </tableColumn>
    <tableColumn id="11" xr3:uid="{29A51D39-0226-4656-9A21-9C8BB7629521}" name="پیشرفت فیزیکی" dataDxfId="0" dataCellStyle="Percent">
      <calculatedColumnFormula array="1">SUMPRODUCT(_xlfn._xlws.FILTER(r_actions[پیشرفت فیزیکی],r_actions[شناسه ریسک]=Table1[[#This Row],[شناسه ریسک]]),_xlfn._xlws.FILTER(r_actions[پیشرفت اجرا (%)],r_actions[شناسه ریسک]=Table1[[#This Row],[شناسه ریسک]]))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E15" sqref="E15"/>
    </sheetView>
  </sheetViews>
  <sheetFormatPr defaultRowHeight="15" x14ac:dyDescent="0.25"/>
  <cols>
    <col min="1" max="1" width="10.28515625" customWidth="1"/>
    <col min="2" max="2" width="27.42578125" customWidth="1"/>
    <col min="3" max="3" width="41.7109375" customWidth="1"/>
    <col min="4" max="4" width="36.140625" customWidth="1"/>
    <col min="5" max="5" width="14.140625" customWidth="1"/>
    <col min="6" max="6" width="17.42578125" customWidth="1"/>
  </cols>
  <sheetData>
    <row r="1" spans="1:6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5" t="s">
        <v>184</v>
      </c>
      <c r="B2" s="1" t="s">
        <v>6</v>
      </c>
      <c r="C2" s="1" t="s">
        <v>7</v>
      </c>
      <c r="D2" s="1" t="s">
        <v>8</v>
      </c>
      <c r="E2" s="1" t="s">
        <v>9</v>
      </c>
      <c r="F2" s="6" t="s">
        <v>10</v>
      </c>
    </row>
    <row r="3" spans="1:6" x14ac:dyDescent="0.25">
      <c r="A3" s="5" t="s">
        <v>185</v>
      </c>
      <c r="B3" s="1" t="s">
        <v>11</v>
      </c>
      <c r="C3" s="1" t="s">
        <v>12</v>
      </c>
      <c r="D3" s="1" t="s">
        <v>13</v>
      </c>
      <c r="E3" s="1" t="s">
        <v>9</v>
      </c>
      <c r="F3" s="6" t="s">
        <v>10</v>
      </c>
    </row>
    <row r="4" spans="1:6" x14ac:dyDescent="0.25">
      <c r="A4" s="5" t="s">
        <v>186</v>
      </c>
      <c r="B4" s="1" t="s">
        <v>14</v>
      </c>
      <c r="C4" s="1" t="s">
        <v>15</v>
      </c>
      <c r="D4" s="1" t="s">
        <v>16</v>
      </c>
      <c r="E4" s="1" t="s">
        <v>9</v>
      </c>
      <c r="F4" s="6" t="s">
        <v>10</v>
      </c>
    </row>
    <row r="5" spans="1:6" x14ac:dyDescent="0.25">
      <c r="A5" s="5" t="s">
        <v>187</v>
      </c>
      <c r="B5" s="1" t="s">
        <v>17</v>
      </c>
      <c r="C5" s="1" t="s">
        <v>18</v>
      </c>
      <c r="D5" s="1" t="s">
        <v>19</v>
      </c>
      <c r="E5" s="1" t="s">
        <v>20</v>
      </c>
      <c r="F5" s="6" t="s">
        <v>10</v>
      </c>
    </row>
    <row r="6" spans="1:6" x14ac:dyDescent="0.25">
      <c r="A6" s="5" t="s">
        <v>188</v>
      </c>
      <c r="B6" s="1" t="s">
        <v>21</v>
      </c>
      <c r="C6" s="1" t="s">
        <v>22</v>
      </c>
      <c r="D6" s="1" t="s">
        <v>23</v>
      </c>
      <c r="E6" s="1" t="s">
        <v>20</v>
      </c>
      <c r="F6" s="6" t="s">
        <v>10</v>
      </c>
    </row>
    <row r="7" spans="1:6" x14ac:dyDescent="0.25">
      <c r="A7" s="5" t="s">
        <v>189</v>
      </c>
      <c r="B7" s="1" t="s">
        <v>24</v>
      </c>
      <c r="C7" s="1" t="s">
        <v>25</v>
      </c>
      <c r="D7" s="1" t="s">
        <v>26</v>
      </c>
      <c r="E7" s="1" t="s">
        <v>20</v>
      </c>
      <c r="F7" s="6" t="s">
        <v>10</v>
      </c>
    </row>
    <row r="8" spans="1:6" x14ac:dyDescent="0.25">
      <c r="A8" s="5" t="s">
        <v>190</v>
      </c>
      <c r="B8" s="1" t="s">
        <v>27</v>
      </c>
      <c r="C8" s="1" t="s">
        <v>28</v>
      </c>
      <c r="D8" s="1" t="s">
        <v>29</v>
      </c>
      <c r="E8" s="1" t="s">
        <v>20</v>
      </c>
      <c r="F8" s="6" t="s">
        <v>10</v>
      </c>
    </row>
    <row r="9" spans="1:6" x14ac:dyDescent="0.25">
      <c r="A9" s="5" t="s">
        <v>191</v>
      </c>
      <c r="B9" s="1" t="s">
        <v>30</v>
      </c>
      <c r="C9" s="1" t="s">
        <v>31</v>
      </c>
      <c r="D9" s="1" t="s">
        <v>32</v>
      </c>
      <c r="E9" s="1" t="s">
        <v>20</v>
      </c>
      <c r="F9" s="6" t="s">
        <v>10</v>
      </c>
    </row>
    <row r="10" spans="1:6" x14ac:dyDescent="0.25">
      <c r="A10" s="5" t="s">
        <v>192</v>
      </c>
      <c r="B10" s="1" t="s">
        <v>33</v>
      </c>
      <c r="C10" s="1" t="s">
        <v>34</v>
      </c>
      <c r="D10" s="1" t="s">
        <v>35</v>
      </c>
      <c r="E10" s="1" t="s">
        <v>20</v>
      </c>
      <c r="F10" s="6" t="s">
        <v>10</v>
      </c>
    </row>
    <row r="11" spans="1:6" x14ac:dyDescent="0.25">
      <c r="A11" s="5" t="s">
        <v>193</v>
      </c>
      <c r="B11" s="1" t="s">
        <v>36</v>
      </c>
      <c r="C11" s="1" t="s">
        <v>37</v>
      </c>
      <c r="D11" s="1" t="s">
        <v>38</v>
      </c>
      <c r="E11" s="1" t="s">
        <v>39</v>
      </c>
      <c r="F11" s="6" t="s">
        <v>10</v>
      </c>
    </row>
    <row r="12" spans="1:6" x14ac:dyDescent="0.25">
      <c r="A12" s="5" t="s">
        <v>194</v>
      </c>
      <c r="B12" s="1" t="s">
        <v>40</v>
      </c>
      <c r="C12" s="1" t="s">
        <v>41</v>
      </c>
      <c r="D12" s="1" t="s">
        <v>42</v>
      </c>
      <c r="E12" s="1" t="s">
        <v>39</v>
      </c>
      <c r="F12" s="6" t="s">
        <v>10</v>
      </c>
    </row>
    <row r="13" spans="1:6" x14ac:dyDescent="0.25">
      <c r="A13" s="5" t="s">
        <v>195</v>
      </c>
      <c r="B13" s="1" t="s">
        <v>43</v>
      </c>
      <c r="C13" s="1" t="s">
        <v>44</v>
      </c>
      <c r="D13" s="1" t="s">
        <v>45</v>
      </c>
      <c r="E13" s="1" t="s">
        <v>39</v>
      </c>
      <c r="F13" s="6" t="s">
        <v>10</v>
      </c>
    </row>
    <row r="14" spans="1:6" x14ac:dyDescent="0.25">
      <c r="A14" s="5" t="s">
        <v>196</v>
      </c>
      <c r="B14" s="1" t="s">
        <v>46</v>
      </c>
      <c r="C14" s="1" t="s">
        <v>47</v>
      </c>
      <c r="D14" s="1" t="s">
        <v>48</v>
      </c>
      <c r="E14" s="1" t="s">
        <v>49</v>
      </c>
      <c r="F14" s="6" t="s">
        <v>10</v>
      </c>
    </row>
    <row r="15" spans="1:6" x14ac:dyDescent="0.25">
      <c r="A15" s="5" t="s">
        <v>197</v>
      </c>
      <c r="B15" s="1" t="s">
        <v>50</v>
      </c>
      <c r="C15" s="1" t="s">
        <v>51</v>
      </c>
      <c r="D15" s="1" t="s">
        <v>52</v>
      </c>
      <c r="E15" s="1" t="s">
        <v>49</v>
      </c>
      <c r="F15" s="6" t="s">
        <v>10</v>
      </c>
    </row>
    <row r="16" spans="1:6" x14ac:dyDescent="0.25">
      <c r="A16" s="5" t="s">
        <v>198</v>
      </c>
      <c r="B16" s="1" t="s">
        <v>53</v>
      </c>
      <c r="C16" s="1" t="s">
        <v>54</v>
      </c>
      <c r="D16" s="1" t="s">
        <v>55</v>
      </c>
      <c r="E16" s="1" t="s">
        <v>49</v>
      </c>
      <c r="F16" s="6" t="s">
        <v>10</v>
      </c>
    </row>
    <row r="17" spans="1:6" x14ac:dyDescent="0.25">
      <c r="A17" s="5" t="s">
        <v>199</v>
      </c>
      <c r="B17" s="1" t="s">
        <v>56</v>
      </c>
      <c r="C17" s="1" t="s">
        <v>57</v>
      </c>
      <c r="D17" s="1" t="s">
        <v>58</v>
      </c>
      <c r="E17" s="1" t="s">
        <v>59</v>
      </c>
      <c r="F17" s="6" t="s">
        <v>10</v>
      </c>
    </row>
    <row r="18" spans="1:6" x14ac:dyDescent="0.25">
      <c r="A18" s="5" t="s">
        <v>200</v>
      </c>
      <c r="B18" s="1" t="s">
        <v>60</v>
      </c>
      <c r="C18" s="1" t="s">
        <v>61</v>
      </c>
      <c r="D18" s="1" t="s">
        <v>62</v>
      </c>
      <c r="E18" s="1" t="s">
        <v>59</v>
      </c>
      <c r="F18" s="6" t="s">
        <v>10</v>
      </c>
    </row>
    <row r="19" spans="1:6" x14ac:dyDescent="0.25">
      <c r="A19" s="10" t="s">
        <v>201</v>
      </c>
      <c r="B19" s="11" t="s">
        <v>63</v>
      </c>
      <c r="C19" s="11" t="s">
        <v>64</v>
      </c>
      <c r="D19" s="11" t="s">
        <v>65</v>
      </c>
      <c r="E19" s="11" t="s">
        <v>59</v>
      </c>
      <c r="F19" s="12" t="s">
        <v>10</v>
      </c>
    </row>
    <row r="20" spans="1:6" x14ac:dyDescent="0.25">
      <c r="A20" s="5" t="s">
        <v>202</v>
      </c>
      <c r="B20" s="3" t="s">
        <v>207</v>
      </c>
      <c r="C20" s="3" t="s">
        <v>208</v>
      </c>
      <c r="D20" s="3" t="s">
        <v>209</v>
      </c>
      <c r="E20" s="3" t="s">
        <v>9</v>
      </c>
      <c r="F20" s="6" t="s">
        <v>206</v>
      </c>
    </row>
    <row r="21" spans="1:6" x14ac:dyDescent="0.25">
      <c r="A21" s="10" t="s">
        <v>203</v>
      </c>
      <c r="B21" s="3" t="s">
        <v>210</v>
      </c>
      <c r="C21" s="3" t="s">
        <v>211</v>
      </c>
      <c r="D21" s="3" t="s">
        <v>212</v>
      </c>
      <c r="E21" s="3" t="s">
        <v>9</v>
      </c>
      <c r="F21" s="6" t="s">
        <v>206</v>
      </c>
    </row>
    <row r="22" spans="1:6" x14ac:dyDescent="0.25">
      <c r="A22" s="5" t="s">
        <v>204</v>
      </c>
      <c r="B22" s="3" t="s">
        <v>213</v>
      </c>
      <c r="C22" s="3" t="s">
        <v>214</v>
      </c>
      <c r="D22" s="3" t="s">
        <v>215</v>
      </c>
      <c r="E22" s="3" t="s">
        <v>9</v>
      </c>
      <c r="F22" s="6" t="s">
        <v>206</v>
      </c>
    </row>
    <row r="23" spans="1:6" x14ac:dyDescent="0.25">
      <c r="A23" s="10" t="s">
        <v>205</v>
      </c>
      <c r="B23" s="3" t="s">
        <v>216</v>
      </c>
      <c r="C23" s="3" t="s">
        <v>217</v>
      </c>
      <c r="D23" s="3" t="s">
        <v>218</v>
      </c>
      <c r="E23" s="11" t="s">
        <v>59</v>
      </c>
      <c r="F23" s="6" t="s">
        <v>206</v>
      </c>
    </row>
  </sheetData>
  <phoneticPr fontId="5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8F029B-0472-419E-9BB5-9A369B232622}">
          <x14:formula1>
            <xm:f>'Heat Map'!$C$23:$C$24</xm:f>
          </x14:formula1>
          <xm:sqref>F2:F23</xm:sqref>
        </x14:dataValidation>
        <x14:dataValidation type="list" allowBlank="1" showInputMessage="1" showErrorMessage="1" xr:uid="{CDD7307A-EC26-4883-A11E-A9A0492C76ED}">
          <x14:formula1>
            <xm:f>'Heat Map'!$A$39:$A$43</xm:f>
          </x14:formula1>
          <xm:sqref>E2:E23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>
      <selection activeCell="J12" sqref="J12:J16"/>
    </sheetView>
  </sheetViews>
  <sheetFormatPr defaultRowHeight="15" x14ac:dyDescent="0.25"/>
  <cols>
    <col min="1" max="1" width="13.28515625" customWidth="1"/>
    <col min="2" max="2" width="63.42578125" bestFit="1" customWidth="1"/>
    <col min="3" max="3" width="18" customWidth="1"/>
    <col min="4" max="4" width="18.5703125" customWidth="1"/>
    <col min="5" max="5" width="14.28515625" customWidth="1"/>
    <col min="6" max="6" width="17" customWidth="1"/>
    <col min="7" max="7" width="11.42578125" bestFit="1" customWidth="1"/>
  </cols>
  <sheetData>
    <row r="1" spans="1:18" x14ac:dyDescent="0.25">
      <c r="A1" s="7" t="s">
        <v>66</v>
      </c>
      <c r="B1" s="8" t="s">
        <v>1</v>
      </c>
      <c r="C1" s="8" t="s">
        <v>67</v>
      </c>
      <c r="D1" s="8" t="s">
        <v>68</v>
      </c>
      <c r="E1" s="8" t="s">
        <v>69</v>
      </c>
      <c r="F1" s="9" t="s">
        <v>70</v>
      </c>
      <c r="G1" s="8" t="s">
        <v>251</v>
      </c>
    </row>
    <row r="2" spans="1:18" x14ac:dyDescent="0.25">
      <c r="A2" s="5" t="s">
        <v>184</v>
      </c>
      <c r="B2" s="1" t="str">
        <f>INDEX(r_detect[شرح ریسک],MATCH(r_measure[[#This Row],[شناسه ریسک]],r_detect[کد ساختار شکست],0))</f>
        <v>ریسک نبود نقش ها و اختیارات شفاف</v>
      </c>
      <c r="C2" s="1" t="s">
        <v>80</v>
      </c>
      <c r="D2" s="1" t="s">
        <v>72</v>
      </c>
      <c r="E2" s="1" t="s">
        <v>78</v>
      </c>
      <c r="F2" s="6" t="s">
        <v>74</v>
      </c>
      <c r="G2" s="27" t="s">
        <v>220</v>
      </c>
    </row>
    <row r="3" spans="1:18" x14ac:dyDescent="0.25">
      <c r="A3" s="5" t="s">
        <v>185</v>
      </c>
      <c r="B3" s="3" t="str">
        <f>INDEX(r_detect[شرح ریسک],MATCH(r_measure[[#This Row],[شناسه ریسک]],r_detect[کد ساختار شکست],0))</f>
        <v>ریسک تعارض منافع در تصمیم گیری فناورانه</v>
      </c>
      <c r="C3" s="1" t="s">
        <v>71</v>
      </c>
      <c r="D3" s="1" t="s">
        <v>180</v>
      </c>
      <c r="E3" s="1" t="s">
        <v>80</v>
      </c>
      <c r="F3" s="6" t="s">
        <v>75</v>
      </c>
      <c r="G3" s="3" t="s">
        <v>221</v>
      </c>
      <c r="J3" t="str" cm="1">
        <f t="array" ref="J3:J7">_xlfn.UNIQUE(r_measure[شدت اثر هدف])</f>
        <v>اساسی</v>
      </c>
      <c r="K3" t="str" cm="1">
        <f t="array" ref="K3:K7">_xlfn.UNIQUE(r_measure[احتمال وقوع هدف])</f>
        <v>بعید</v>
      </c>
    </row>
    <row r="4" spans="1:18" x14ac:dyDescent="0.25">
      <c r="A4" s="5" t="s">
        <v>186</v>
      </c>
      <c r="B4" s="3" t="str">
        <f>INDEX(r_detect[شرح ریسک],MATCH(r_measure[[#This Row],[شناسه ریسک]],r_detect[کد ساختار شکست],0))</f>
        <v>ریسک نبود سازوکار ارزیابی و اولویت بندی تصمیم ها</v>
      </c>
      <c r="C4" s="1" t="s">
        <v>73</v>
      </c>
      <c r="D4" s="1" t="s">
        <v>179</v>
      </c>
      <c r="E4" s="1" t="s">
        <v>71</v>
      </c>
      <c r="F4" s="6" t="s">
        <v>72</v>
      </c>
      <c r="G4" s="3" t="s">
        <v>222</v>
      </c>
      <c r="J4" t="str">
        <v>عمده</v>
      </c>
      <c r="K4" t="str">
        <v>نادر</v>
      </c>
    </row>
    <row r="5" spans="1:18" x14ac:dyDescent="0.25">
      <c r="A5" s="5" t="s">
        <v>187</v>
      </c>
      <c r="B5" s="3" t="str">
        <f>INDEX(r_detect[شرح ریسک],MATCH(r_measure[[#This Row],[شناسه ریسک]],r_detect[کد ساختار شکست],0))</f>
        <v>ریسک دارایی های فناورانه فاقد متولی</v>
      </c>
      <c r="C5" s="1" t="s">
        <v>71</v>
      </c>
      <c r="D5" s="1" t="s">
        <v>74</v>
      </c>
      <c r="E5" s="1" t="s">
        <v>73</v>
      </c>
      <c r="F5" s="6" t="s">
        <v>179</v>
      </c>
      <c r="G5" s="3" t="s">
        <v>223</v>
      </c>
      <c r="J5" t="str">
        <v>متوسط</v>
      </c>
      <c r="K5" t="str">
        <v>ممکن</v>
      </c>
    </row>
    <row r="6" spans="1:18" x14ac:dyDescent="0.25">
      <c r="A6" s="5" t="s">
        <v>188</v>
      </c>
      <c r="B6" s="3" t="str">
        <f>INDEX(r_detect[شرح ریسک],MATCH(r_measure[[#This Row],[شناسه ریسک]],r_detect[کد ساختار شکست],0))</f>
        <v>ریسک از بین رفتن دانش، مستندات و نمونه ها</v>
      </c>
      <c r="C6" s="1" t="s">
        <v>84</v>
      </c>
      <c r="D6" s="1" t="s">
        <v>74</v>
      </c>
      <c r="E6" s="1" t="s">
        <v>84</v>
      </c>
      <c r="F6" s="6" t="s">
        <v>180</v>
      </c>
      <c r="G6" s="3" t="s">
        <v>224</v>
      </c>
      <c r="J6" t="str">
        <v>جزئی</v>
      </c>
      <c r="K6" t="str">
        <v>محتمل</v>
      </c>
    </row>
    <row r="7" spans="1:18" x14ac:dyDescent="0.25">
      <c r="A7" s="5" t="s">
        <v>189</v>
      </c>
      <c r="B7" s="3" t="str">
        <f>INDEX(r_detect[شرح ریسک],MATCH(r_measure[[#This Row],[شناسه ریسک]],r_detect[کد ساختار شکست],0))</f>
        <v>ریسک طبقه بندی نادرست دارایی ها (ارزش، بلوغ، فوریت)</v>
      </c>
      <c r="C7" s="1" t="s">
        <v>73</v>
      </c>
      <c r="D7" s="1" t="s">
        <v>74</v>
      </c>
      <c r="E7" s="46" t="s">
        <v>78</v>
      </c>
      <c r="F7" s="6" t="s">
        <v>74</v>
      </c>
      <c r="G7" s="3" t="s">
        <v>225</v>
      </c>
      <c r="J7" t="str">
        <v>ناچیز</v>
      </c>
      <c r="K7" t="str">
        <v>مکرر</v>
      </c>
    </row>
    <row r="8" spans="1:18" x14ac:dyDescent="0.25">
      <c r="A8" s="5" t="s">
        <v>190</v>
      </c>
      <c r="B8" s="3" t="str">
        <f>INDEX(r_detect[شرح ریسک],MATCH(r_measure[[#This Row],[شناسه ریسک]],r_detect[کد ساختار شکست],0))</f>
        <v>ریسک تمایلی نداشتن به رها کردن مالکیت دارایی توسط واحدهای سازمانی</v>
      </c>
      <c r="C8" s="1" t="s">
        <v>80</v>
      </c>
      <c r="D8" s="1" t="s">
        <v>75</v>
      </c>
      <c r="E8" s="46" t="s">
        <v>80</v>
      </c>
      <c r="F8" s="6" t="s">
        <v>75</v>
      </c>
      <c r="G8" s="3" t="s">
        <v>226</v>
      </c>
      <c r="N8" t="s">
        <v>74</v>
      </c>
      <c r="O8" t="s">
        <v>75</v>
      </c>
      <c r="P8" t="s">
        <v>72</v>
      </c>
      <c r="Q8" t="s">
        <v>179</v>
      </c>
      <c r="R8" t="s">
        <v>180</v>
      </c>
    </row>
    <row r="9" spans="1:18" x14ac:dyDescent="0.25">
      <c r="A9" s="5" t="s">
        <v>191</v>
      </c>
      <c r="B9" s="3" t="str">
        <f>INDEX(r_detect[شرح ریسک],MATCH(r_measure[[#This Row],[شناسه ریسک]],r_detect[کد ساختار شکست],0))</f>
        <v>ریسک بسیار تخصصی دارایی های توسعه یافته و بواسطه آن بازار خارجی محدود</v>
      </c>
      <c r="C9" s="1" t="s">
        <v>84</v>
      </c>
      <c r="D9" s="1" t="s">
        <v>72</v>
      </c>
      <c r="E9" s="46" t="s">
        <v>71</v>
      </c>
      <c r="F9" s="6" t="s">
        <v>72</v>
      </c>
      <c r="G9" s="3" t="s">
        <v>230</v>
      </c>
      <c r="N9" t="s">
        <v>75</v>
      </c>
      <c r="O9" t="s">
        <v>74</v>
      </c>
      <c r="P9" t="s">
        <v>72</v>
      </c>
      <c r="Q9" t="s">
        <v>179</v>
      </c>
      <c r="R9" t="s">
        <v>180</v>
      </c>
    </row>
    <row r="10" spans="1:18" x14ac:dyDescent="0.25">
      <c r="A10" s="5" t="s">
        <v>192</v>
      </c>
      <c r="B10" s="3" t="str">
        <f>INDEX(r_detect[شرح ریسک],MATCH(r_measure[[#This Row],[شناسه ریسک]],r_detect[کد ساختار شکست],0))</f>
        <v>ریسک قدیمی بودن دارایی ها و نیازمند به روزرسانی های پرهزینه جهت استانداردسازی</v>
      </c>
      <c r="C10" s="1" t="s">
        <v>78</v>
      </c>
      <c r="D10" s="1" t="s">
        <v>179</v>
      </c>
      <c r="E10" s="46" t="s">
        <v>73</v>
      </c>
      <c r="F10" s="6" t="s">
        <v>179</v>
      </c>
      <c r="G10" s="27" t="s">
        <v>220</v>
      </c>
      <c r="P10" t="s">
        <v>72</v>
      </c>
    </row>
    <row r="11" spans="1:18" x14ac:dyDescent="0.25">
      <c r="A11" s="5" t="s">
        <v>193</v>
      </c>
      <c r="B11" s="3" t="str">
        <f>INDEX(r_detect[شرح ریسک],MATCH(r_measure[[#This Row],[شناسه ریسک]],r_detect[کد ساختار شکست],0))</f>
        <v>ریسک اعتبار فناورانه و مالی شریک</v>
      </c>
      <c r="C11" s="1" t="s">
        <v>78</v>
      </c>
      <c r="D11" s="1" t="s">
        <v>180</v>
      </c>
      <c r="E11" s="46" t="s">
        <v>84</v>
      </c>
      <c r="F11" s="6" t="s">
        <v>180</v>
      </c>
      <c r="G11" s="46" t="s">
        <v>221</v>
      </c>
      <c r="Q11" t="s">
        <v>179</v>
      </c>
    </row>
    <row r="12" spans="1:18" x14ac:dyDescent="0.25">
      <c r="A12" s="5" t="s">
        <v>194</v>
      </c>
      <c r="B12" s="3" t="str">
        <f>INDEX(r_detect[شرح ریسک],MATCH(r_measure[[#This Row],[شناسه ریسک]],r_detect[کد ساختار شکست],0))</f>
        <v>ریسک های حقوقی، قراردادی و مالکیتی در مشارکت</v>
      </c>
      <c r="C12" s="1" t="s">
        <v>80</v>
      </c>
      <c r="D12" s="46" t="s">
        <v>180</v>
      </c>
      <c r="E12" s="46" t="s">
        <v>78</v>
      </c>
      <c r="F12" s="6" t="s">
        <v>74</v>
      </c>
      <c r="G12" s="46" t="s">
        <v>222</v>
      </c>
      <c r="J12" t="s">
        <v>78</v>
      </c>
      <c r="K12" t="s">
        <v>74</v>
      </c>
    </row>
    <row r="13" spans="1:18" x14ac:dyDescent="0.25">
      <c r="A13" s="5" t="s">
        <v>195</v>
      </c>
      <c r="B13" s="3" t="str">
        <f>INDEX(r_detect[شرح ریسک],MATCH(r_measure[[#This Row],[شناسه ریسک]],r_detect[کد ساختار شکست],0))</f>
        <v>ریسک عدم هم راستایی اهداف شریک با منافع خوارزمی</v>
      </c>
      <c r="C13" s="1" t="s">
        <v>71</v>
      </c>
      <c r="D13" s="46" t="s">
        <v>180</v>
      </c>
      <c r="E13" s="46" t="s">
        <v>80</v>
      </c>
      <c r="F13" s="6" t="s">
        <v>75</v>
      </c>
      <c r="G13" s="46" t="s">
        <v>223</v>
      </c>
      <c r="J13" t="s">
        <v>80</v>
      </c>
      <c r="K13" t="s">
        <v>75</v>
      </c>
    </row>
    <row r="14" spans="1:18" x14ac:dyDescent="0.25">
      <c r="A14" s="5" t="s">
        <v>196</v>
      </c>
      <c r="B14" s="3" t="str">
        <f>INDEX(r_detect[شرح ریسک],MATCH(r_measure[[#This Row],[شناسه ریسک]],r_detect[کد ساختار شکست],0))</f>
        <v>ریسک پراکندگی دانش و فقدان نظام یکپارچه</v>
      </c>
      <c r="C14" s="1" t="s">
        <v>84</v>
      </c>
      <c r="D14" s="1" t="s">
        <v>72</v>
      </c>
      <c r="E14" s="46" t="s">
        <v>71</v>
      </c>
      <c r="F14" s="6" t="s">
        <v>72</v>
      </c>
      <c r="G14" s="46" t="s">
        <v>224</v>
      </c>
      <c r="J14" t="s">
        <v>71</v>
      </c>
      <c r="K14" t="s">
        <v>72</v>
      </c>
    </row>
    <row r="15" spans="1:18" x14ac:dyDescent="0.25">
      <c r="A15" s="5" t="s">
        <v>197</v>
      </c>
      <c r="B15" s="3" t="str">
        <f>INDEX(r_detect[شرح ریسک],MATCH(r_measure[[#This Row],[شناسه ریسک]],r_detect[کد ساختار شکست],0))</f>
        <v>ریسک وابستگی به افراد کلیدی</v>
      </c>
      <c r="C15" s="1" t="s">
        <v>73</v>
      </c>
      <c r="D15" s="1" t="s">
        <v>72</v>
      </c>
      <c r="E15" s="46" t="s">
        <v>73</v>
      </c>
      <c r="F15" s="6" t="s">
        <v>179</v>
      </c>
      <c r="G15" s="46" t="s">
        <v>225</v>
      </c>
      <c r="J15" t="s">
        <v>73</v>
      </c>
      <c r="K15" t="s">
        <v>179</v>
      </c>
    </row>
    <row r="16" spans="1:18" x14ac:dyDescent="0.25">
      <c r="A16" s="5" t="s">
        <v>198</v>
      </c>
      <c r="B16" s="3" t="str">
        <f>INDEX(r_detect[شرح ریسک],MATCH(r_measure[[#This Row],[شناسه ریسک]],r_detect[کد ساختار شکست],0))</f>
        <v>ریسک تولید دانش غیرمعتبر یا غیرکاربردی</v>
      </c>
      <c r="C16" s="1" t="s">
        <v>80</v>
      </c>
      <c r="D16" s="46" t="s">
        <v>180</v>
      </c>
      <c r="E16" s="46" t="s">
        <v>84</v>
      </c>
      <c r="F16" s="6" t="s">
        <v>180</v>
      </c>
      <c r="G16" s="46" t="s">
        <v>226</v>
      </c>
      <c r="J16" t="s">
        <v>84</v>
      </c>
      <c r="K16" t="s">
        <v>180</v>
      </c>
    </row>
    <row r="17" spans="1:7" x14ac:dyDescent="0.25">
      <c r="A17" s="5" t="s">
        <v>199</v>
      </c>
      <c r="B17" s="3" t="str">
        <f>INDEX(r_detect[شرح ریسک],MATCH(r_measure[[#This Row],[شناسه ریسک]],r_detect[کد ساختار شکست],0))</f>
        <v>ریسک های نقدینگی و ناپایداری درآمد</v>
      </c>
      <c r="C17" s="1" t="s">
        <v>71</v>
      </c>
      <c r="D17" s="1" t="s">
        <v>72</v>
      </c>
      <c r="E17" s="46" t="s">
        <v>78</v>
      </c>
      <c r="F17" s="6" t="s">
        <v>74</v>
      </c>
      <c r="G17" s="46" t="s">
        <v>230</v>
      </c>
    </row>
    <row r="18" spans="1:7" x14ac:dyDescent="0.25">
      <c r="A18" s="5" t="s">
        <v>200</v>
      </c>
      <c r="B18" s="3" t="str">
        <f>INDEX(r_detect[شرح ریسک],MATCH(r_measure[[#This Row],[شناسه ریسک]],r_detect[کد ساختار شکست],0))</f>
        <v>ریسک های آسیب به برند مرجع</v>
      </c>
      <c r="C18" s="1" t="s">
        <v>78</v>
      </c>
      <c r="D18" s="46" t="s">
        <v>179</v>
      </c>
      <c r="E18" s="46" t="s">
        <v>80</v>
      </c>
      <c r="F18" s="6" t="s">
        <v>75</v>
      </c>
      <c r="G18" s="46" t="s">
        <v>225</v>
      </c>
    </row>
    <row r="19" spans="1:7" x14ac:dyDescent="0.25">
      <c r="A19" s="10" t="s">
        <v>201</v>
      </c>
      <c r="B19" s="3" t="str">
        <f>INDEX(r_detect[شرح ریسک],MATCH(r_measure[[#This Row],[شناسه ریسک]],r_detect[کد ساختار شکست],0))</f>
        <v>ریسک افت کیفیت خدمات پشتیبانی دارایی محور</v>
      </c>
      <c r="C19" s="11" t="s">
        <v>78</v>
      </c>
      <c r="D19" s="46" t="s">
        <v>75</v>
      </c>
      <c r="E19" s="46" t="s">
        <v>71</v>
      </c>
      <c r="F19" s="6" t="s">
        <v>72</v>
      </c>
      <c r="G19" s="46" t="s">
        <v>226</v>
      </c>
    </row>
    <row r="20" spans="1:7" x14ac:dyDescent="0.25">
      <c r="A20" s="5" t="s">
        <v>202</v>
      </c>
      <c r="B20" s="3" t="str">
        <f>INDEX(r_detect[شرح ریسک],MATCH(r_measure[[#This Row],[شناسه ریسک]],r_detect[کد ساختار شکست],0))</f>
        <v>تجربه مفید مدیرعامل در اکوسیستم دانشگاهی</v>
      </c>
      <c r="C20" s="3" t="s">
        <v>71</v>
      </c>
      <c r="D20" s="46" t="s">
        <v>74</v>
      </c>
      <c r="E20" s="46" t="s">
        <v>73</v>
      </c>
      <c r="F20" s="6" t="s">
        <v>179</v>
      </c>
      <c r="G20" s="46" t="s">
        <v>230</v>
      </c>
    </row>
    <row r="21" spans="1:7" x14ac:dyDescent="0.25">
      <c r="A21" s="5" t="s">
        <v>203</v>
      </c>
      <c r="B21" s="3" t="str">
        <f>INDEX(r_detect[شرح ریسک],MATCH(r_measure[[#This Row],[شناسه ریسک]],r_detect[کد ساختار شکست],0))</f>
        <v>سابقه کار اجرایی مدیران ارشد در صنعت پتروشیمی</v>
      </c>
      <c r="C21" s="3" t="s">
        <v>80</v>
      </c>
      <c r="D21" s="46" t="s">
        <v>179</v>
      </c>
      <c r="E21" s="46" t="s">
        <v>84</v>
      </c>
      <c r="F21" s="6" t="s">
        <v>180</v>
      </c>
      <c r="G21" s="46" t="s">
        <v>222</v>
      </c>
    </row>
    <row r="22" spans="1:7" x14ac:dyDescent="0.25">
      <c r="A22" s="5" t="s">
        <v>204</v>
      </c>
      <c r="B22" s="3" t="str">
        <f>INDEX(r_detect[شرح ریسک],MATCH(r_measure[[#This Row],[شناسه ریسک]],r_detect[کد ساختار شکست],0))</f>
        <v>هم‌افزایی تجربه صنعتی و دانش دانشگاهی</v>
      </c>
      <c r="C22" s="3" t="s">
        <v>84</v>
      </c>
      <c r="D22" s="11" t="s">
        <v>72</v>
      </c>
      <c r="E22" s="3" t="s">
        <v>80</v>
      </c>
      <c r="F22" s="6" t="s">
        <v>179</v>
      </c>
      <c r="G22" s="46" t="s">
        <v>223</v>
      </c>
    </row>
    <row r="23" spans="1:7" x14ac:dyDescent="0.25">
      <c r="A23" s="10" t="s">
        <v>205</v>
      </c>
      <c r="B23" s="3" t="str">
        <f>INDEX(r_detect[شرح ریسک],MATCH(r_measure[[#This Row],[شناسه ریسک]],r_detect[کد ساختار شکست],0))</f>
        <v>پتانسیل توسعه جریان‌های درآمدی جدید بواسطه نوآورانه بودن طرح کسب‌وکار خوارزمی</v>
      </c>
      <c r="C23" s="3" t="s">
        <v>73</v>
      </c>
      <c r="D23" s="46" t="s">
        <v>75</v>
      </c>
      <c r="E23" s="3" t="s">
        <v>80</v>
      </c>
      <c r="F23" s="6" t="s">
        <v>179</v>
      </c>
      <c r="G23" s="3" t="s">
        <v>230</v>
      </c>
    </row>
  </sheetData>
  <phoneticPr fontId="5" type="noConversion"/>
  <dataValidations count="2">
    <dataValidation type="list" sqref="C2:C23 E2:E23" xr:uid="{00000000-0002-0000-0100-000000000000}">
      <formula1>"اساسی,عمده,متوسط,جزئی,ناچیز"</formula1>
    </dataValidation>
    <dataValidation type="list" sqref="D2:D23 F2:F23" xr:uid="{00000000-0002-0000-0100-000001000000}">
      <formula1>"نادر,بعید,ممکن,محتمل,مکرر"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C719B-4336-4694-937B-5909AF38FFC6}">
          <x14:formula1>
            <xm:f>'Heat Map'!$B$20:$B$27</xm:f>
          </x14:formula1>
          <xm:sqref>G2:G23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>
      <selection activeCell="B3" sqref="B3:B7"/>
    </sheetView>
  </sheetViews>
  <sheetFormatPr defaultRowHeight="15" x14ac:dyDescent="0.25"/>
  <cols>
    <col min="1" max="1" width="15" customWidth="1"/>
    <col min="2" max="2" width="21" bestFit="1" customWidth="1"/>
    <col min="3" max="3" width="12" style="23" customWidth="1"/>
    <col min="4" max="6" width="12" customWidth="1"/>
  </cols>
  <sheetData>
    <row r="1" spans="1:6" ht="18.75" x14ac:dyDescent="0.3">
      <c r="D1" s="50" t="s">
        <v>77</v>
      </c>
      <c r="E1" s="51"/>
      <c r="F1" s="51"/>
    </row>
    <row r="2" spans="1:6" x14ac:dyDescent="0.25">
      <c r="A2" s="2" t="s">
        <v>76</v>
      </c>
      <c r="B2" s="2" t="s">
        <v>75</v>
      </c>
      <c r="C2" s="24" t="s">
        <v>74</v>
      </c>
      <c r="D2" t="s">
        <v>72</v>
      </c>
      <c r="E2" t="s">
        <v>179</v>
      </c>
      <c r="F2" t="s">
        <v>180</v>
      </c>
    </row>
    <row r="3" spans="1:6" x14ac:dyDescent="0.25">
      <c r="A3" s="2" t="s">
        <v>78</v>
      </c>
      <c r="B3" s="3" t="s">
        <v>82</v>
      </c>
      <c r="C3" s="25" t="s">
        <v>82</v>
      </c>
      <c r="D3" s="1" t="s">
        <v>81</v>
      </c>
      <c r="E3" s="1" t="s">
        <v>79</v>
      </c>
      <c r="F3" s="1" t="s">
        <v>79</v>
      </c>
    </row>
    <row r="4" spans="1:6" x14ac:dyDescent="0.25">
      <c r="A4" s="2" t="s">
        <v>80</v>
      </c>
      <c r="B4" s="3" t="s">
        <v>83</v>
      </c>
      <c r="C4" s="25" t="s">
        <v>82</v>
      </c>
      <c r="D4" s="1" t="s">
        <v>81</v>
      </c>
      <c r="E4" s="1" t="s">
        <v>79</v>
      </c>
      <c r="F4" s="1" t="s">
        <v>79</v>
      </c>
    </row>
    <row r="5" spans="1:6" x14ac:dyDescent="0.25">
      <c r="A5" s="2" t="s">
        <v>71</v>
      </c>
      <c r="B5" s="3" t="s">
        <v>83</v>
      </c>
      <c r="C5" s="25" t="s">
        <v>82</v>
      </c>
      <c r="D5" s="1" t="s">
        <v>82</v>
      </c>
      <c r="E5" s="1" t="s">
        <v>81</v>
      </c>
      <c r="F5" s="1" t="s">
        <v>81</v>
      </c>
    </row>
    <row r="6" spans="1:6" x14ac:dyDescent="0.25">
      <c r="A6" s="2" t="s">
        <v>73</v>
      </c>
      <c r="B6" s="3" t="s">
        <v>83</v>
      </c>
      <c r="C6" s="25" t="s">
        <v>82</v>
      </c>
      <c r="D6" s="1" t="s">
        <v>82</v>
      </c>
      <c r="E6" s="1" t="s">
        <v>82</v>
      </c>
      <c r="F6" s="1" t="s">
        <v>82</v>
      </c>
    </row>
    <row r="7" spans="1:6" x14ac:dyDescent="0.25">
      <c r="A7" s="2" t="s">
        <v>84</v>
      </c>
      <c r="B7" s="3" t="s">
        <v>83</v>
      </c>
      <c r="C7" s="25" t="s">
        <v>83</v>
      </c>
      <c r="D7" s="1" t="s">
        <v>83</v>
      </c>
      <c r="E7" s="1" t="s">
        <v>83</v>
      </c>
      <c r="F7" s="1" t="s">
        <v>82</v>
      </c>
    </row>
    <row r="8" spans="1:6" x14ac:dyDescent="0.25">
      <c r="A8" s="1"/>
      <c r="B8" s="27"/>
      <c r="C8" s="25"/>
      <c r="D8" s="1"/>
      <c r="E8" s="1"/>
      <c r="F8" s="1"/>
    </row>
    <row r="9" spans="1:6" ht="18.75" x14ac:dyDescent="0.3">
      <c r="A9" s="1"/>
      <c r="B9" s="1"/>
      <c r="C9" s="25"/>
      <c r="D9" s="50" t="s">
        <v>85</v>
      </c>
      <c r="E9" s="51"/>
      <c r="F9" s="51"/>
    </row>
    <row r="10" spans="1:6" x14ac:dyDescent="0.25">
      <c r="A10" s="2" t="s">
        <v>76</v>
      </c>
      <c r="B10" s="2" t="s">
        <v>75</v>
      </c>
      <c r="C10" s="24" t="s">
        <v>74</v>
      </c>
      <c r="D10" t="s">
        <v>72</v>
      </c>
      <c r="E10" t="s">
        <v>179</v>
      </c>
      <c r="F10" t="s">
        <v>180</v>
      </c>
    </row>
    <row r="11" spans="1:6" x14ac:dyDescent="0.25">
      <c r="A11" s="2" t="s">
        <v>78</v>
      </c>
      <c r="B11" s="3" t="s">
        <v>82</v>
      </c>
      <c r="C11" s="25" t="s">
        <v>82</v>
      </c>
      <c r="D11" s="1" t="s">
        <v>81</v>
      </c>
      <c r="E11" s="1" t="s">
        <v>79</v>
      </c>
      <c r="F11" s="1" t="s">
        <v>79</v>
      </c>
    </row>
    <row r="12" spans="1:6" x14ac:dyDescent="0.25">
      <c r="A12" s="2" t="s">
        <v>80</v>
      </c>
      <c r="B12" s="3" t="s">
        <v>83</v>
      </c>
      <c r="C12" s="25" t="s">
        <v>82</v>
      </c>
      <c r="D12" s="1" t="s">
        <v>81</v>
      </c>
      <c r="E12" s="1" t="s">
        <v>79</v>
      </c>
      <c r="F12" s="1" t="s">
        <v>79</v>
      </c>
    </row>
    <row r="13" spans="1:6" x14ac:dyDescent="0.25">
      <c r="A13" s="2" t="s">
        <v>71</v>
      </c>
      <c r="B13" s="3" t="s">
        <v>83</v>
      </c>
      <c r="C13" s="25" t="s">
        <v>82</v>
      </c>
      <c r="D13" s="1" t="s">
        <v>82</v>
      </c>
      <c r="E13" s="1" t="s">
        <v>81</v>
      </c>
      <c r="F13" s="1" t="s">
        <v>81</v>
      </c>
    </row>
    <row r="14" spans="1:6" x14ac:dyDescent="0.25">
      <c r="A14" s="2" t="s">
        <v>73</v>
      </c>
      <c r="B14" s="3" t="s">
        <v>83</v>
      </c>
      <c r="C14" s="25" t="s">
        <v>82</v>
      </c>
      <c r="D14" s="1" t="s">
        <v>82</v>
      </c>
      <c r="E14" s="1" t="s">
        <v>82</v>
      </c>
      <c r="F14" s="1" t="s">
        <v>82</v>
      </c>
    </row>
    <row r="15" spans="1:6" x14ac:dyDescent="0.25">
      <c r="A15" s="2" t="s">
        <v>84</v>
      </c>
      <c r="B15" s="3" t="s">
        <v>83</v>
      </c>
      <c r="C15" s="25" t="s">
        <v>83</v>
      </c>
      <c r="D15" s="1" t="s">
        <v>83</v>
      </c>
      <c r="E15" s="1" t="s">
        <v>83</v>
      </c>
      <c r="F15" s="1" t="s">
        <v>82</v>
      </c>
    </row>
    <row r="18" spans="1:6" x14ac:dyDescent="0.25">
      <c r="A18" s="22" t="s">
        <v>219</v>
      </c>
    </row>
    <row r="19" spans="1:6" x14ac:dyDescent="0.25">
      <c r="A19" s="26" t="s">
        <v>227</v>
      </c>
      <c r="B19" s="26" t="s">
        <v>228</v>
      </c>
      <c r="C19" s="25" t="s">
        <v>229</v>
      </c>
    </row>
    <row r="20" spans="1:6" x14ac:dyDescent="0.25">
      <c r="A20" s="3">
        <v>1</v>
      </c>
      <c r="B20" s="26" t="s">
        <v>220</v>
      </c>
      <c r="C20" s="25" t="s">
        <v>10</v>
      </c>
    </row>
    <row r="21" spans="1:6" x14ac:dyDescent="0.25">
      <c r="A21" s="3">
        <v>2</v>
      </c>
      <c r="B21" s="26" t="s">
        <v>221</v>
      </c>
      <c r="C21" s="25" t="s">
        <v>10</v>
      </c>
    </row>
    <row r="22" spans="1:6" x14ac:dyDescent="0.25">
      <c r="A22" s="3">
        <v>3</v>
      </c>
      <c r="B22" s="26" t="s">
        <v>222</v>
      </c>
      <c r="C22" s="25" t="s">
        <v>10</v>
      </c>
    </row>
    <row r="23" spans="1:6" x14ac:dyDescent="0.25">
      <c r="A23" s="3">
        <v>4</v>
      </c>
      <c r="B23" s="26" t="s">
        <v>223</v>
      </c>
      <c r="C23" s="25" t="s">
        <v>10</v>
      </c>
    </row>
    <row r="24" spans="1:6" x14ac:dyDescent="0.25">
      <c r="A24" s="3">
        <v>5</v>
      </c>
      <c r="B24" s="3" t="s">
        <v>224</v>
      </c>
      <c r="C24" s="25" t="s">
        <v>206</v>
      </c>
    </row>
    <row r="25" spans="1:6" x14ac:dyDescent="0.25">
      <c r="A25" s="3">
        <v>6</v>
      </c>
      <c r="B25" s="3" t="s">
        <v>225</v>
      </c>
      <c r="C25" s="25" t="s">
        <v>206</v>
      </c>
    </row>
    <row r="26" spans="1:6" x14ac:dyDescent="0.25">
      <c r="A26" s="3">
        <v>7</v>
      </c>
      <c r="B26" s="3" t="s">
        <v>226</v>
      </c>
      <c r="C26" s="25" t="s">
        <v>206</v>
      </c>
    </row>
    <row r="27" spans="1:6" x14ac:dyDescent="0.25">
      <c r="A27" s="3">
        <v>8</v>
      </c>
      <c r="B27" s="3" t="s">
        <v>230</v>
      </c>
      <c r="C27" s="25" t="s">
        <v>206</v>
      </c>
    </row>
    <row r="32" spans="1:6" x14ac:dyDescent="0.25">
      <c r="A32" s="25" t="s">
        <v>227</v>
      </c>
      <c r="B32" s="25" t="s">
        <v>233</v>
      </c>
      <c r="C32" s="25" t="s">
        <v>231</v>
      </c>
      <c r="D32" s="25" t="s">
        <v>237</v>
      </c>
      <c r="E32" s="25" t="s">
        <v>235</v>
      </c>
      <c r="F32" s="23"/>
    </row>
    <row r="33" spans="1:5" x14ac:dyDescent="0.25">
      <c r="A33" s="25">
        <v>1</v>
      </c>
      <c r="B33" s="25" t="s">
        <v>232</v>
      </c>
      <c r="C33" s="25" t="s">
        <v>239</v>
      </c>
      <c r="D33" s="25" t="s">
        <v>238</v>
      </c>
      <c r="E33" s="25" t="s">
        <v>236</v>
      </c>
    </row>
    <row r="34" spans="1:5" x14ac:dyDescent="0.25">
      <c r="A34" s="25">
        <v>2</v>
      </c>
      <c r="B34" s="25" t="s">
        <v>234</v>
      </c>
      <c r="C34" s="25" t="s">
        <v>240</v>
      </c>
      <c r="D34" s="25" t="s">
        <v>241</v>
      </c>
      <c r="E34" s="25" t="s">
        <v>242</v>
      </c>
    </row>
    <row r="35" spans="1:5" x14ac:dyDescent="0.25">
      <c r="A35" s="25">
        <v>3</v>
      </c>
      <c r="B35" s="25" t="s">
        <v>243</v>
      </c>
      <c r="C35" s="25" t="s">
        <v>244</v>
      </c>
      <c r="D35" s="25" t="s">
        <v>245</v>
      </c>
      <c r="E35" s="25" t="s">
        <v>246</v>
      </c>
    </row>
    <row r="36" spans="1:5" x14ac:dyDescent="0.25">
      <c r="A36" s="25">
        <v>4</v>
      </c>
      <c r="B36" s="25" t="s">
        <v>247</v>
      </c>
      <c r="C36" s="25" t="s">
        <v>248</v>
      </c>
      <c r="D36" s="25" t="s">
        <v>249</v>
      </c>
      <c r="E36" s="25" t="s">
        <v>250</v>
      </c>
    </row>
    <row r="37" spans="1:5" x14ac:dyDescent="0.25">
      <c r="A37" s="23"/>
      <c r="B37" s="23"/>
      <c r="D37" s="23"/>
      <c r="E37" s="23"/>
    </row>
    <row r="39" spans="1:5" x14ac:dyDescent="0.25">
      <c r="A39" s="28" t="s">
        <v>9</v>
      </c>
    </row>
    <row r="40" spans="1:5" x14ac:dyDescent="0.25">
      <c r="A40" s="28" t="s">
        <v>20</v>
      </c>
    </row>
    <row r="41" spans="1:5" x14ac:dyDescent="0.25">
      <c r="A41" s="28" t="s">
        <v>39</v>
      </c>
    </row>
    <row r="42" spans="1:5" x14ac:dyDescent="0.25">
      <c r="A42" s="28" t="s">
        <v>49</v>
      </c>
    </row>
    <row r="43" spans="1:5" x14ac:dyDescent="0.25">
      <c r="A43" s="28" t="s">
        <v>59</v>
      </c>
    </row>
  </sheetData>
  <mergeCells count="2">
    <mergeCell ref="D1:F1"/>
    <mergeCell ref="D9:F9"/>
  </mergeCells>
  <conditionalFormatting sqref="C3:F7 B19:B23 A18:A19">
    <cfRule type="expression" dxfId="30" priority="2">
      <formula>"Critical"</formula>
    </cfRule>
  </conditionalFormatting>
  <conditionalFormatting sqref="C11:F15">
    <cfRule type="expression" dxfId="29" priority="1">
      <formula>"Critical"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9"/>
  <sheetViews>
    <sheetView tabSelected="1" zoomScale="90" zoomScaleNormal="90" workbookViewId="0">
      <selection activeCell="K8" sqref="K8"/>
    </sheetView>
  </sheetViews>
  <sheetFormatPr defaultRowHeight="15" x14ac:dyDescent="0.25"/>
  <cols>
    <col min="1" max="1" width="15" customWidth="1"/>
    <col min="2" max="2" width="16" customWidth="1"/>
    <col min="3" max="5" width="15" customWidth="1"/>
    <col min="6" max="6" width="18.5703125" style="49" bestFit="1" customWidth="1"/>
    <col min="7" max="7" width="15" customWidth="1"/>
    <col min="9" max="9" width="9.140625" style="4"/>
  </cols>
  <sheetData>
    <row r="1" spans="1:17" x14ac:dyDescent="0.25">
      <c r="A1" s="7" t="s">
        <v>66</v>
      </c>
      <c r="B1" s="8" t="s">
        <v>86</v>
      </c>
      <c r="C1" s="8" t="s">
        <v>87</v>
      </c>
      <c r="D1" s="8" t="s">
        <v>88</v>
      </c>
      <c r="E1" s="8" t="s">
        <v>89</v>
      </c>
      <c r="F1" s="47" t="s">
        <v>90</v>
      </c>
      <c r="G1" s="9" t="s">
        <v>91</v>
      </c>
      <c r="H1" s="8" t="s">
        <v>181</v>
      </c>
      <c r="I1" s="15" t="s">
        <v>182</v>
      </c>
      <c r="J1" s="8" t="s">
        <v>183</v>
      </c>
    </row>
    <row r="2" spans="1:17" x14ac:dyDescent="0.25">
      <c r="A2" s="1" t="s">
        <v>184</v>
      </c>
      <c r="B2" s="1" t="s">
        <v>92</v>
      </c>
      <c r="C2" s="1" t="s">
        <v>93</v>
      </c>
      <c r="D2" s="19">
        <v>46102</v>
      </c>
      <c r="E2" s="19">
        <v>46132</v>
      </c>
      <c r="F2" s="48">
        <v>0.90000000000000013</v>
      </c>
      <c r="G2" s="1">
        <v>4</v>
      </c>
      <c r="H2" s="1">
        <f>r_actions[[#This Row],[تاریخ پایان]]-r_actions[[#This Row],[تاریخ شروع]]</f>
        <v>30</v>
      </c>
      <c r="I2" s="14">
        <f>r_actions[[#This Row],[مدت زمان]]/365</f>
        <v>8.2191780821917804E-2</v>
      </c>
      <c r="J2" s="20">
        <f>r_actions[[#This Row],[درصد وزنی]]*r_actions[[#This Row],[پیشرفت اجرا (%)]]</f>
        <v>7.3972602739726029E-2</v>
      </c>
      <c r="M2" s="56"/>
      <c r="Q2" s="4"/>
    </row>
    <row r="3" spans="1:17" x14ac:dyDescent="0.25">
      <c r="A3" s="1" t="s">
        <v>184</v>
      </c>
      <c r="B3" s="1" t="s">
        <v>94</v>
      </c>
      <c r="C3" s="1" t="s">
        <v>95</v>
      </c>
      <c r="D3" s="19">
        <v>46133</v>
      </c>
      <c r="E3" s="19">
        <v>46163</v>
      </c>
      <c r="F3" s="48">
        <v>0.90000000000000013</v>
      </c>
      <c r="G3" s="1">
        <v>1</v>
      </c>
      <c r="H3" s="1">
        <f>r_actions[[#This Row],[تاریخ پایان]]-r_actions[[#This Row],[تاریخ شروع]]</f>
        <v>30</v>
      </c>
      <c r="I3" s="14">
        <f>r_actions[[#This Row],[مدت زمان]]/365</f>
        <v>8.2191780821917804E-2</v>
      </c>
      <c r="J3" s="20">
        <f>r_actions[[#This Row],[درصد وزنی]]*r_actions[[#This Row],[پیشرفت اجرا (%)]]</f>
        <v>7.3972602739726029E-2</v>
      </c>
      <c r="M3" s="56"/>
      <c r="Q3" s="4"/>
    </row>
    <row r="4" spans="1:17" x14ac:dyDescent="0.25">
      <c r="A4" s="1" t="s">
        <v>184</v>
      </c>
      <c r="B4" s="1" t="s">
        <v>96</v>
      </c>
      <c r="C4" s="1" t="s">
        <v>97</v>
      </c>
      <c r="D4" s="19">
        <v>46164</v>
      </c>
      <c r="E4" s="19">
        <v>46194</v>
      </c>
      <c r="F4" s="48">
        <v>0.90000000000000013</v>
      </c>
      <c r="G4" s="1">
        <v>5</v>
      </c>
      <c r="H4" s="1">
        <f>r_actions[[#This Row],[تاریخ پایان]]-r_actions[[#This Row],[تاریخ شروع]]</f>
        <v>30</v>
      </c>
      <c r="I4" s="14">
        <f>r_actions[[#This Row],[مدت زمان]]/365</f>
        <v>8.2191780821917804E-2</v>
      </c>
      <c r="J4" s="20">
        <f>r_actions[[#This Row],[درصد وزنی]]*r_actions[[#This Row],[پیشرفت اجرا (%)]]</f>
        <v>7.3972602739726029E-2</v>
      </c>
      <c r="M4" s="56"/>
      <c r="Q4" s="4"/>
    </row>
    <row r="5" spans="1:17" x14ac:dyDescent="0.25">
      <c r="A5" s="1" t="s">
        <v>184</v>
      </c>
      <c r="B5" s="1" t="s">
        <v>99</v>
      </c>
      <c r="C5" s="1" t="s">
        <v>98</v>
      </c>
      <c r="D5" s="19">
        <v>46195</v>
      </c>
      <c r="E5" s="19">
        <v>46466</v>
      </c>
      <c r="F5" s="48">
        <v>0.12</v>
      </c>
      <c r="G5" s="1">
        <v>3</v>
      </c>
      <c r="H5" s="1">
        <f>r_actions[[#This Row],[تاریخ پایان]]-r_actions[[#This Row],[تاریخ شروع]]</f>
        <v>271</v>
      </c>
      <c r="I5" s="14">
        <f>r_actions[[#This Row],[مدت زمان]]/365</f>
        <v>0.74246575342465748</v>
      </c>
      <c r="J5" s="20">
        <f>r_actions[[#This Row],[درصد وزنی]]*r_actions[[#This Row],[پیشرفت اجرا (%)]]</f>
        <v>8.9095890410958889E-2</v>
      </c>
      <c r="M5" s="56"/>
      <c r="Q5" s="4"/>
    </row>
    <row r="6" spans="1:17" x14ac:dyDescent="0.25">
      <c r="A6" s="1" t="s">
        <v>185</v>
      </c>
      <c r="B6" s="1" t="s">
        <v>100</v>
      </c>
      <c r="C6" s="1" t="s">
        <v>93</v>
      </c>
      <c r="D6" s="19">
        <v>46102</v>
      </c>
      <c r="E6" s="19">
        <v>46132</v>
      </c>
      <c r="F6" s="48">
        <v>0.22999999999999998</v>
      </c>
      <c r="G6" s="1">
        <v>9</v>
      </c>
      <c r="H6" s="1">
        <f>r_actions[[#This Row],[تاریخ پایان]]-r_actions[[#This Row],[تاریخ شروع]]</f>
        <v>30</v>
      </c>
      <c r="I6" s="14">
        <f>r_actions[[#This Row],[مدت زمان]]/365</f>
        <v>8.2191780821917804E-2</v>
      </c>
      <c r="J6" s="20">
        <f>r_actions[[#This Row],[درصد وزنی]]*r_actions[[#This Row],[پیشرفت اجرا (%)]]</f>
        <v>1.8904109589041092E-2</v>
      </c>
      <c r="M6" s="56"/>
      <c r="Q6" s="4"/>
    </row>
    <row r="7" spans="1:17" x14ac:dyDescent="0.25">
      <c r="A7" s="1" t="s">
        <v>185</v>
      </c>
      <c r="B7" s="1" t="s">
        <v>101</v>
      </c>
      <c r="C7" s="1" t="s">
        <v>95</v>
      </c>
      <c r="D7" s="19">
        <v>46133</v>
      </c>
      <c r="E7" s="19">
        <v>46163</v>
      </c>
      <c r="F7" s="48">
        <v>0.34</v>
      </c>
      <c r="G7" s="1">
        <v>5</v>
      </c>
      <c r="H7" s="1">
        <f>r_actions[[#This Row],[تاریخ پایان]]-r_actions[[#This Row],[تاریخ شروع]]</f>
        <v>30</v>
      </c>
      <c r="I7" s="14">
        <f>r_actions[[#This Row],[مدت زمان]]/365</f>
        <v>8.2191780821917804E-2</v>
      </c>
      <c r="J7" s="20">
        <f>r_actions[[#This Row],[درصد وزنی]]*r_actions[[#This Row],[پیشرفت اجرا (%)]]</f>
        <v>2.7945205479452055E-2</v>
      </c>
      <c r="M7" s="56"/>
      <c r="Q7" s="4"/>
    </row>
    <row r="8" spans="1:17" x14ac:dyDescent="0.25">
      <c r="A8" s="1" t="s">
        <v>185</v>
      </c>
      <c r="B8" s="1" t="s">
        <v>102</v>
      </c>
      <c r="C8" s="1" t="s">
        <v>97</v>
      </c>
      <c r="D8" s="19">
        <v>46164</v>
      </c>
      <c r="E8" s="19">
        <v>46194</v>
      </c>
      <c r="F8" s="48">
        <v>0.45000000000000007</v>
      </c>
      <c r="G8" s="1">
        <v>2</v>
      </c>
      <c r="H8" s="1">
        <f>r_actions[[#This Row],[تاریخ پایان]]-r_actions[[#This Row],[تاریخ شروع]]</f>
        <v>30</v>
      </c>
      <c r="I8" s="14">
        <f>r_actions[[#This Row],[مدت زمان]]/365</f>
        <v>8.2191780821917804E-2</v>
      </c>
      <c r="J8" s="20">
        <f>r_actions[[#This Row],[درصد وزنی]]*r_actions[[#This Row],[پیشرفت اجرا (%)]]</f>
        <v>3.6986301369863014E-2</v>
      </c>
      <c r="M8" s="56"/>
      <c r="Q8" s="4"/>
    </row>
    <row r="9" spans="1:17" x14ac:dyDescent="0.25">
      <c r="A9" s="1" t="s">
        <v>185</v>
      </c>
      <c r="B9" s="1" t="s">
        <v>103</v>
      </c>
      <c r="C9" s="1" t="s">
        <v>98</v>
      </c>
      <c r="D9" s="19">
        <v>46195</v>
      </c>
      <c r="E9" s="19">
        <v>46466</v>
      </c>
      <c r="F9" s="48">
        <v>0.45999999999999996</v>
      </c>
      <c r="G9" s="1">
        <v>6</v>
      </c>
      <c r="H9" s="1">
        <f>r_actions[[#This Row],[تاریخ پایان]]-r_actions[[#This Row],[تاریخ شروع]]</f>
        <v>271</v>
      </c>
      <c r="I9" s="14">
        <f>r_actions[[#This Row],[مدت زمان]]/365</f>
        <v>0.74246575342465748</v>
      </c>
      <c r="J9" s="20">
        <f>r_actions[[#This Row],[درصد وزنی]]*r_actions[[#This Row],[پیشرفت اجرا (%)]]</f>
        <v>0.34153424657534243</v>
      </c>
      <c r="M9" s="56"/>
      <c r="Q9" s="4"/>
    </row>
    <row r="10" spans="1:17" x14ac:dyDescent="0.25">
      <c r="A10" s="1" t="s">
        <v>186</v>
      </c>
      <c r="B10" s="1" t="s">
        <v>104</v>
      </c>
      <c r="C10" s="1" t="s">
        <v>93</v>
      </c>
      <c r="D10" s="19">
        <v>46102</v>
      </c>
      <c r="E10" s="19">
        <v>46132</v>
      </c>
      <c r="F10" s="48">
        <v>0.57999999999999996</v>
      </c>
      <c r="G10" s="1">
        <v>4</v>
      </c>
      <c r="H10" s="1">
        <f>r_actions[[#This Row],[تاریخ پایان]]-r_actions[[#This Row],[تاریخ شروع]]</f>
        <v>30</v>
      </c>
      <c r="I10" s="14">
        <f>r_actions[[#This Row],[مدت زمان]]/365</f>
        <v>8.2191780821917804E-2</v>
      </c>
      <c r="J10" s="20">
        <f>r_actions[[#This Row],[درصد وزنی]]*r_actions[[#This Row],[پیشرفت اجرا (%)]]</f>
        <v>4.7671232876712322E-2</v>
      </c>
      <c r="M10" s="56"/>
      <c r="Q10" s="4"/>
    </row>
    <row r="11" spans="1:17" x14ac:dyDescent="0.25">
      <c r="A11" s="1" t="s">
        <v>186</v>
      </c>
      <c r="B11" s="1" t="s">
        <v>105</v>
      </c>
      <c r="C11" s="1" t="s">
        <v>95</v>
      </c>
      <c r="D11" s="19">
        <v>46133</v>
      </c>
      <c r="E11" s="19">
        <v>46163</v>
      </c>
      <c r="F11" s="48">
        <v>0.68</v>
      </c>
      <c r="G11" s="1">
        <v>5</v>
      </c>
      <c r="H11" s="1">
        <f>r_actions[[#This Row],[تاریخ پایان]]-r_actions[[#This Row],[تاریخ شروع]]</f>
        <v>30</v>
      </c>
      <c r="I11" s="14">
        <f>r_actions[[#This Row],[مدت زمان]]/365</f>
        <v>8.2191780821917804E-2</v>
      </c>
      <c r="J11" s="20">
        <f>r_actions[[#This Row],[درصد وزنی]]*r_actions[[#This Row],[پیشرفت اجرا (%)]]</f>
        <v>5.589041095890411E-2</v>
      </c>
      <c r="M11" s="56"/>
      <c r="Q11" s="4"/>
    </row>
    <row r="12" spans="1:17" x14ac:dyDescent="0.25">
      <c r="A12" s="1" t="s">
        <v>186</v>
      </c>
      <c r="B12" s="1" t="s">
        <v>106</v>
      </c>
      <c r="C12" s="1" t="s">
        <v>97</v>
      </c>
      <c r="D12" s="19">
        <v>46164</v>
      </c>
      <c r="E12" s="19">
        <v>46194</v>
      </c>
      <c r="F12" s="48">
        <v>0.78</v>
      </c>
      <c r="G12" s="1">
        <v>6</v>
      </c>
      <c r="H12" s="1">
        <f>r_actions[[#This Row],[تاریخ پایان]]-r_actions[[#This Row],[تاریخ شروع]]</f>
        <v>30</v>
      </c>
      <c r="I12" s="14">
        <f>r_actions[[#This Row],[مدت زمان]]/365</f>
        <v>8.2191780821917804E-2</v>
      </c>
      <c r="J12" s="20">
        <f>r_actions[[#This Row],[درصد وزنی]]*r_actions[[#This Row],[پیشرفت اجرا (%)]]</f>
        <v>6.4109589041095885E-2</v>
      </c>
      <c r="M12" s="56"/>
    </row>
    <row r="13" spans="1:17" x14ac:dyDescent="0.25">
      <c r="A13" s="1" t="s">
        <v>186</v>
      </c>
      <c r="B13" s="1" t="s">
        <v>107</v>
      </c>
      <c r="C13" s="1" t="s">
        <v>98</v>
      </c>
      <c r="D13" s="19">
        <v>46195</v>
      </c>
      <c r="E13" s="19">
        <v>46466</v>
      </c>
      <c r="F13" s="48">
        <v>0.83</v>
      </c>
      <c r="G13" s="1">
        <v>2</v>
      </c>
      <c r="H13" s="1">
        <f>r_actions[[#This Row],[تاریخ پایان]]-r_actions[[#This Row],[تاریخ شروع]]</f>
        <v>271</v>
      </c>
      <c r="I13" s="14">
        <f>r_actions[[#This Row],[مدت زمان]]/365</f>
        <v>0.74246575342465748</v>
      </c>
      <c r="J13" s="20">
        <f>r_actions[[#This Row],[درصد وزنی]]*r_actions[[#This Row],[پیشرفت اجرا (%)]]</f>
        <v>0.61624657534246563</v>
      </c>
      <c r="M13" s="56"/>
    </row>
    <row r="14" spans="1:17" x14ac:dyDescent="0.25">
      <c r="A14" s="1" t="s">
        <v>187</v>
      </c>
      <c r="B14" s="1" t="s">
        <v>108</v>
      </c>
      <c r="C14" s="1" t="s">
        <v>93</v>
      </c>
      <c r="D14" s="19">
        <v>46102</v>
      </c>
      <c r="E14" s="19">
        <v>46132</v>
      </c>
      <c r="F14" s="48">
        <v>0.93</v>
      </c>
      <c r="G14" s="1">
        <v>7</v>
      </c>
      <c r="H14" s="1">
        <f>r_actions[[#This Row],[تاریخ پایان]]-r_actions[[#This Row],[تاریخ شروع]]</f>
        <v>30</v>
      </c>
      <c r="I14" s="14">
        <f>r_actions[[#This Row],[مدت زمان]]/365</f>
        <v>8.2191780821917804E-2</v>
      </c>
      <c r="J14" s="20">
        <f>r_actions[[#This Row],[درصد وزنی]]*r_actions[[#This Row],[پیشرفت اجرا (%)]]</f>
        <v>7.6438356164383561E-2</v>
      </c>
      <c r="M14" s="56"/>
    </row>
    <row r="15" spans="1:17" x14ac:dyDescent="0.25">
      <c r="A15" s="1" t="s">
        <v>187</v>
      </c>
      <c r="B15" s="1" t="s">
        <v>109</v>
      </c>
      <c r="C15" s="1" t="s">
        <v>95</v>
      </c>
      <c r="D15" s="19">
        <v>46133</v>
      </c>
      <c r="E15" s="19">
        <v>46163</v>
      </c>
      <c r="F15" s="48">
        <v>0.90000000000000013</v>
      </c>
      <c r="G15" s="1">
        <v>9</v>
      </c>
      <c r="H15" s="1">
        <f>r_actions[[#This Row],[تاریخ پایان]]-r_actions[[#This Row],[تاریخ شروع]]</f>
        <v>30</v>
      </c>
      <c r="I15" s="14">
        <f>r_actions[[#This Row],[مدت زمان]]/365</f>
        <v>8.2191780821917804E-2</v>
      </c>
      <c r="J15" s="20">
        <f>r_actions[[#This Row],[درصد وزنی]]*r_actions[[#This Row],[پیشرفت اجرا (%)]]</f>
        <v>7.3972602739726029E-2</v>
      </c>
      <c r="M15" s="56"/>
    </row>
    <row r="16" spans="1:17" x14ac:dyDescent="0.25">
      <c r="A16" s="1" t="s">
        <v>187</v>
      </c>
      <c r="B16" s="1" t="s">
        <v>110</v>
      </c>
      <c r="C16" s="1" t="s">
        <v>97</v>
      </c>
      <c r="D16" s="19">
        <v>46164</v>
      </c>
      <c r="E16" s="19">
        <v>46194</v>
      </c>
      <c r="F16" s="48">
        <v>0.12</v>
      </c>
      <c r="G16" s="1">
        <v>1</v>
      </c>
      <c r="H16" s="1">
        <f>r_actions[[#This Row],[تاریخ پایان]]-r_actions[[#This Row],[تاریخ شروع]]</f>
        <v>30</v>
      </c>
      <c r="I16" s="14">
        <f>r_actions[[#This Row],[مدت زمان]]/365</f>
        <v>8.2191780821917804E-2</v>
      </c>
      <c r="J16" s="20">
        <f>r_actions[[#This Row],[درصد وزنی]]*r_actions[[#This Row],[پیشرفت اجرا (%)]]</f>
        <v>9.8630136986301367E-3</v>
      </c>
      <c r="M16" s="56"/>
    </row>
    <row r="17" spans="1:13" x14ac:dyDescent="0.25">
      <c r="A17" s="1" t="s">
        <v>187</v>
      </c>
      <c r="B17" s="1" t="s">
        <v>111</v>
      </c>
      <c r="C17" s="1" t="s">
        <v>98</v>
      </c>
      <c r="D17" s="19">
        <v>46195</v>
      </c>
      <c r="E17" s="19">
        <v>46466</v>
      </c>
      <c r="F17" s="48">
        <v>0.22999999999999998</v>
      </c>
      <c r="G17" s="1">
        <v>10</v>
      </c>
      <c r="H17" s="1">
        <f>r_actions[[#This Row],[تاریخ پایان]]-r_actions[[#This Row],[تاریخ شروع]]</f>
        <v>271</v>
      </c>
      <c r="I17" s="14">
        <f>r_actions[[#This Row],[مدت زمان]]/365</f>
        <v>0.74246575342465748</v>
      </c>
      <c r="J17" s="20">
        <f>r_actions[[#This Row],[درصد وزنی]]*r_actions[[#This Row],[پیشرفت اجرا (%)]]</f>
        <v>0.17076712328767121</v>
      </c>
      <c r="M17" s="56"/>
    </row>
    <row r="18" spans="1:13" x14ac:dyDescent="0.25">
      <c r="A18" s="1" t="s">
        <v>188</v>
      </c>
      <c r="B18" s="1" t="s">
        <v>112</v>
      </c>
      <c r="C18" s="1" t="s">
        <v>93</v>
      </c>
      <c r="D18" s="19">
        <v>46102</v>
      </c>
      <c r="E18" s="19">
        <v>46132</v>
      </c>
      <c r="F18" s="48">
        <v>0.34</v>
      </c>
      <c r="G18" s="1">
        <v>1</v>
      </c>
      <c r="H18" s="1">
        <f>r_actions[[#This Row],[تاریخ پایان]]-r_actions[[#This Row],[تاریخ شروع]]</f>
        <v>30</v>
      </c>
      <c r="I18" s="14">
        <f>r_actions[[#This Row],[مدت زمان]]/365</f>
        <v>8.2191780821917804E-2</v>
      </c>
      <c r="J18" s="20">
        <f>r_actions[[#This Row],[درصد وزنی]]*r_actions[[#This Row],[پیشرفت اجرا (%)]]</f>
        <v>2.7945205479452055E-2</v>
      </c>
      <c r="M18" s="56"/>
    </row>
    <row r="19" spans="1:13" x14ac:dyDescent="0.25">
      <c r="A19" s="1" t="s">
        <v>188</v>
      </c>
      <c r="B19" s="1" t="s">
        <v>113</v>
      </c>
      <c r="C19" s="1" t="s">
        <v>95</v>
      </c>
      <c r="D19" s="19">
        <v>46133</v>
      </c>
      <c r="E19" s="19">
        <v>46163</v>
      </c>
      <c r="F19" s="48">
        <v>0.45000000000000007</v>
      </c>
      <c r="G19" s="1">
        <v>5</v>
      </c>
      <c r="H19" s="1">
        <f>r_actions[[#This Row],[تاریخ پایان]]-r_actions[[#This Row],[تاریخ شروع]]</f>
        <v>30</v>
      </c>
      <c r="I19" s="14">
        <f>r_actions[[#This Row],[مدت زمان]]/365</f>
        <v>8.2191780821917804E-2</v>
      </c>
      <c r="J19" s="20">
        <f>r_actions[[#This Row],[درصد وزنی]]*r_actions[[#This Row],[پیشرفت اجرا (%)]]</f>
        <v>3.6986301369863014E-2</v>
      </c>
      <c r="M19" s="56"/>
    </row>
    <row r="20" spans="1:13" x14ac:dyDescent="0.25">
      <c r="A20" s="1" t="s">
        <v>188</v>
      </c>
      <c r="B20" s="1" t="s">
        <v>114</v>
      </c>
      <c r="C20" s="1" t="s">
        <v>97</v>
      </c>
      <c r="D20" s="19">
        <v>46164</v>
      </c>
      <c r="E20" s="19">
        <v>46194</v>
      </c>
      <c r="F20" s="48">
        <v>0.45999999999999996</v>
      </c>
      <c r="G20" s="1">
        <v>3</v>
      </c>
      <c r="H20" s="1">
        <f>r_actions[[#This Row],[تاریخ پایان]]-r_actions[[#This Row],[تاریخ شروع]]</f>
        <v>30</v>
      </c>
      <c r="I20" s="14">
        <f>r_actions[[#This Row],[مدت زمان]]/365</f>
        <v>8.2191780821917804E-2</v>
      </c>
      <c r="J20" s="20">
        <f>r_actions[[#This Row],[درصد وزنی]]*r_actions[[#This Row],[پیشرفت اجرا (%)]]</f>
        <v>3.7808219178082185E-2</v>
      </c>
      <c r="M20" s="56"/>
    </row>
    <row r="21" spans="1:13" x14ac:dyDescent="0.25">
      <c r="A21" s="1" t="s">
        <v>188</v>
      </c>
      <c r="B21" s="1" t="s">
        <v>115</v>
      </c>
      <c r="C21" s="1" t="s">
        <v>98</v>
      </c>
      <c r="D21" s="19">
        <v>46195</v>
      </c>
      <c r="E21" s="19">
        <v>46466</v>
      </c>
      <c r="F21" s="48">
        <v>0.57999999999999996</v>
      </c>
      <c r="G21" s="1">
        <v>7</v>
      </c>
      <c r="H21" s="1">
        <f>r_actions[[#This Row],[تاریخ پایان]]-r_actions[[#This Row],[تاریخ شروع]]</f>
        <v>271</v>
      </c>
      <c r="I21" s="14">
        <f>r_actions[[#This Row],[مدت زمان]]/365</f>
        <v>0.74246575342465748</v>
      </c>
      <c r="J21" s="20">
        <f>r_actions[[#This Row],[درصد وزنی]]*r_actions[[#This Row],[پیشرفت اجرا (%)]]</f>
        <v>0.43063013698630132</v>
      </c>
      <c r="M21" s="56"/>
    </row>
    <row r="22" spans="1:13" x14ac:dyDescent="0.25">
      <c r="A22" s="3" t="s">
        <v>189</v>
      </c>
      <c r="B22" s="1" t="s">
        <v>116</v>
      </c>
      <c r="C22" s="1" t="s">
        <v>93</v>
      </c>
      <c r="D22" s="19">
        <v>46102</v>
      </c>
      <c r="E22" s="19">
        <v>46132</v>
      </c>
      <c r="F22" s="48">
        <v>0.68</v>
      </c>
      <c r="G22" s="1">
        <v>2</v>
      </c>
      <c r="H22" s="1">
        <f>r_actions[[#This Row],[تاریخ پایان]]-r_actions[[#This Row],[تاریخ شروع]]</f>
        <v>30</v>
      </c>
      <c r="I22" s="14">
        <f>r_actions[[#This Row],[مدت زمان]]/365</f>
        <v>8.2191780821917804E-2</v>
      </c>
      <c r="J22" s="20">
        <f>r_actions[[#This Row],[درصد وزنی]]*r_actions[[#This Row],[پیشرفت اجرا (%)]]</f>
        <v>5.589041095890411E-2</v>
      </c>
      <c r="M22" s="56"/>
    </row>
    <row r="23" spans="1:13" x14ac:dyDescent="0.25">
      <c r="A23" s="3" t="s">
        <v>189</v>
      </c>
      <c r="B23" s="1" t="s">
        <v>117</v>
      </c>
      <c r="C23" s="1" t="s">
        <v>95</v>
      </c>
      <c r="D23" s="19">
        <v>46133</v>
      </c>
      <c r="E23" s="19">
        <v>46163</v>
      </c>
      <c r="F23" s="48">
        <v>0.78</v>
      </c>
      <c r="G23" s="1">
        <v>9</v>
      </c>
      <c r="H23" s="1">
        <f>r_actions[[#This Row],[تاریخ پایان]]-r_actions[[#This Row],[تاریخ شروع]]</f>
        <v>30</v>
      </c>
      <c r="I23" s="14">
        <f>r_actions[[#This Row],[مدت زمان]]/365</f>
        <v>8.2191780821917804E-2</v>
      </c>
      <c r="J23" s="20">
        <f>r_actions[[#This Row],[درصد وزنی]]*r_actions[[#This Row],[پیشرفت اجرا (%)]]</f>
        <v>6.4109589041095885E-2</v>
      </c>
      <c r="M23" s="56"/>
    </row>
    <row r="24" spans="1:13" x14ac:dyDescent="0.25">
      <c r="A24" s="3" t="s">
        <v>189</v>
      </c>
      <c r="B24" s="1" t="s">
        <v>118</v>
      </c>
      <c r="C24" s="1" t="s">
        <v>97</v>
      </c>
      <c r="D24" s="19">
        <v>46164</v>
      </c>
      <c r="E24" s="19">
        <v>46194</v>
      </c>
      <c r="F24" s="48">
        <v>0.83</v>
      </c>
      <c r="G24" s="1">
        <v>1</v>
      </c>
      <c r="H24" s="1">
        <f>r_actions[[#This Row],[تاریخ پایان]]-r_actions[[#This Row],[تاریخ شروع]]</f>
        <v>30</v>
      </c>
      <c r="I24" s="14">
        <f>r_actions[[#This Row],[مدت زمان]]/365</f>
        <v>8.2191780821917804E-2</v>
      </c>
      <c r="J24" s="20">
        <f>r_actions[[#This Row],[درصد وزنی]]*r_actions[[#This Row],[پیشرفت اجرا (%)]]</f>
        <v>6.8219178082191773E-2</v>
      </c>
      <c r="M24" s="56"/>
    </row>
    <row r="25" spans="1:13" x14ac:dyDescent="0.25">
      <c r="A25" s="3" t="s">
        <v>189</v>
      </c>
      <c r="B25" s="1" t="s">
        <v>119</v>
      </c>
      <c r="C25" s="1" t="s">
        <v>98</v>
      </c>
      <c r="D25" s="19">
        <v>46195</v>
      </c>
      <c r="E25" s="19">
        <v>46466</v>
      </c>
      <c r="F25" s="48">
        <v>0</v>
      </c>
      <c r="G25" s="1">
        <v>9</v>
      </c>
      <c r="H25" s="1">
        <f>r_actions[[#This Row],[تاریخ پایان]]-r_actions[[#This Row],[تاریخ شروع]]</f>
        <v>271</v>
      </c>
      <c r="I25" s="14">
        <f>r_actions[[#This Row],[مدت زمان]]/365</f>
        <v>0.74246575342465748</v>
      </c>
      <c r="J25" s="20">
        <f>r_actions[[#This Row],[درصد وزنی]]*r_actions[[#This Row],[پیشرفت اجرا (%)]]</f>
        <v>0</v>
      </c>
      <c r="M25" s="56"/>
    </row>
    <row r="26" spans="1:13" x14ac:dyDescent="0.25">
      <c r="A26" s="1" t="s">
        <v>190</v>
      </c>
      <c r="B26" s="1" t="s">
        <v>120</v>
      </c>
      <c r="C26" s="1" t="s">
        <v>93</v>
      </c>
      <c r="D26" s="19">
        <v>46102</v>
      </c>
      <c r="E26" s="19">
        <v>46132</v>
      </c>
      <c r="F26" s="48">
        <v>0.90000000000000013</v>
      </c>
      <c r="G26" s="1">
        <v>3</v>
      </c>
      <c r="H26" s="1">
        <f>r_actions[[#This Row],[تاریخ پایان]]-r_actions[[#This Row],[تاریخ شروع]]</f>
        <v>30</v>
      </c>
      <c r="I26" s="14">
        <f>r_actions[[#This Row],[مدت زمان]]/365</f>
        <v>8.2191780821917804E-2</v>
      </c>
      <c r="J26" s="20">
        <f>r_actions[[#This Row],[درصد وزنی]]*r_actions[[#This Row],[پیشرفت اجرا (%)]]</f>
        <v>7.3972602739726029E-2</v>
      </c>
      <c r="M26" s="56"/>
    </row>
    <row r="27" spans="1:13" x14ac:dyDescent="0.25">
      <c r="A27" s="1" t="s">
        <v>190</v>
      </c>
      <c r="B27" s="1" t="s">
        <v>121</v>
      </c>
      <c r="C27" s="1" t="s">
        <v>95</v>
      </c>
      <c r="D27" s="19">
        <v>46133</v>
      </c>
      <c r="E27" s="19">
        <v>46163</v>
      </c>
      <c r="F27" s="48">
        <v>0.12</v>
      </c>
      <c r="G27" s="1">
        <v>1</v>
      </c>
      <c r="H27" s="1">
        <f>r_actions[[#This Row],[تاریخ پایان]]-r_actions[[#This Row],[تاریخ شروع]]</f>
        <v>30</v>
      </c>
      <c r="I27" s="14">
        <f>r_actions[[#This Row],[مدت زمان]]/365</f>
        <v>8.2191780821917804E-2</v>
      </c>
      <c r="J27" s="20">
        <f>r_actions[[#This Row],[درصد وزنی]]*r_actions[[#This Row],[پیشرفت اجرا (%)]]</f>
        <v>9.8630136986301367E-3</v>
      </c>
      <c r="M27" s="56"/>
    </row>
    <row r="28" spans="1:13" x14ac:dyDescent="0.25">
      <c r="A28" s="1" t="s">
        <v>190</v>
      </c>
      <c r="B28" s="1" t="s">
        <v>122</v>
      </c>
      <c r="C28" s="1" t="s">
        <v>97</v>
      </c>
      <c r="D28" s="19">
        <v>46164</v>
      </c>
      <c r="E28" s="19">
        <v>46194</v>
      </c>
      <c r="F28" s="48">
        <v>0.22999999999999998</v>
      </c>
      <c r="G28" s="1">
        <v>1</v>
      </c>
      <c r="H28" s="1">
        <f>r_actions[[#This Row],[تاریخ پایان]]-r_actions[[#This Row],[تاریخ شروع]]</f>
        <v>30</v>
      </c>
      <c r="I28" s="14">
        <f>r_actions[[#This Row],[مدت زمان]]/365</f>
        <v>8.2191780821917804E-2</v>
      </c>
      <c r="J28" s="20">
        <f>r_actions[[#This Row],[درصد وزنی]]*r_actions[[#This Row],[پیشرفت اجرا (%)]]</f>
        <v>1.8904109589041092E-2</v>
      </c>
      <c r="M28" s="56"/>
    </row>
    <row r="29" spans="1:13" x14ac:dyDescent="0.25">
      <c r="A29" s="1" t="s">
        <v>190</v>
      </c>
      <c r="B29" s="1" t="s">
        <v>123</v>
      </c>
      <c r="C29" s="1" t="s">
        <v>98</v>
      </c>
      <c r="D29" s="19">
        <v>46195</v>
      </c>
      <c r="E29" s="19">
        <v>46466</v>
      </c>
      <c r="F29" s="48">
        <v>0.34</v>
      </c>
      <c r="G29" s="1">
        <v>4</v>
      </c>
      <c r="H29" s="1">
        <f>r_actions[[#This Row],[تاریخ پایان]]-r_actions[[#This Row],[تاریخ شروع]]</f>
        <v>271</v>
      </c>
      <c r="I29" s="14">
        <f>r_actions[[#This Row],[مدت زمان]]/365</f>
        <v>0.74246575342465748</v>
      </c>
      <c r="J29" s="20">
        <f>r_actions[[#This Row],[درصد وزنی]]*r_actions[[#This Row],[پیشرفت اجرا (%)]]</f>
        <v>0.25243835616438354</v>
      </c>
      <c r="M29" s="56"/>
    </row>
    <row r="30" spans="1:13" x14ac:dyDescent="0.25">
      <c r="A30" s="1" t="s">
        <v>191</v>
      </c>
      <c r="B30" s="1" t="s">
        <v>124</v>
      </c>
      <c r="C30" s="1" t="s">
        <v>93</v>
      </c>
      <c r="D30" s="19">
        <v>46102</v>
      </c>
      <c r="E30" s="19">
        <v>46132</v>
      </c>
      <c r="F30" s="48">
        <v>0.45000000000000007</v>
      </c>
      <c r="G30" s="1">
        <v>2</v>
      </c>
      <c r="H30" s="1">
        <f>r_actions[[#This Row],[تاریخ پایان]]-r_actions[[#This Row],[تاریخ شروع]]</f>
        <v>30</v>
      </c>
      <c r="I30" s="14">
        <f>r_actions[[#This Row],[مدت زمان]]/365</f>
        <v>8.2191780821917804E-2</v>
      </c>
      <c r="J30" s="20">
        <f>r_actions[[#This Row],[درصد وزنی]]*r_actions[[#This Row],[پیشرفت اجرا (%)]]</f>
        <v>3.6986301369863014E-2</v>
      </c>
      <c r="M30" s="56"/>
    </row>
    <row r="31" spans="1:13" x14ac:dyDescent="0.25">
      <c r="A31" s="1" t="s">
        <v>191</v>
      </c>
      <c r="B31" s="1" t="s">
        <v>125</v>
      </c>
      <c r="C31" s="1" t="s">
        <v>95</v>
      </c>
      <c r="D31" s="19">
        <v>46133</v>
      </c>
      <c r="E31" s="19">
        <v>46163</v>
      </c>
      <c r="F31" s="48">
        <v>0.45999999999999996</v>
      </c>
      <c r="G31" s="1">
        <v>7</v>
      </c>
      <c r="H31" s="1">
        <f>r_actions[[#This Row],[تاریخ پایان]]-r_actions[[#This Row],[تاریخ شروع]]</f>
        <v>30</v>
      </c>
      <c r="I31" s="14">
        <f>r_actions[[#This Row],[مدت زمان]]/365</f>
        <v>8.2191780821917804E-2</v>
      </c>
      <c r="J31" s="20">
        <f>r_actions[[#This Row],[درصد وزنی]]*r_actions[[#This Row],[پیشرفت اجرا (%)]]</f>
        <v>3.7808219178082185E-2</v>
      </c>
      <c r="M31" s="56"/>
    </row>
    <row r="32" spans="1:13" x14ac:dyDescent="0.25">
      <c r="A32" s="1" t="s">
        <v>191</v>
      </c>
      <c r="B32" s="1" t="s">
        <v>126</v>
      </c>
      <c r="C32" s="1" t="s">
        <v>97</v>
      </c>
      <c r="D32" s="19">
        <v>46164</v>
      </c>
      <c r="E32" s="19">
        <v>46194</v>
      </c>
      <c r="F32" s="48">
        <v>0.57999999999999996</v>
      </c>
      <c r="G32" s="1">
        <v>3</v>
      </c>
      <c r="H32" s="1">
        <f>r_actions[[#This Row],[تاریخ پایان]]-r_actions[[#This Row],[تاریخ شروع]]</f>
        <v>30</v>
      </c>
      <c r="I32" s="14">
        <f>r_actions[[#This Row],[مدت زمان]]/365</f>
        <v>8.2191780821917804E-2</v>
      </c>
      <c r="J32" s="20">
        <f>r_actions[[#This Row],[درصد وزنی]]*r_actions[[#This Row],[پیشرفت اجرا (%)]]</f>
        <v>4.7671232876712322E-2</v>
      </c>
      <c r="M32" s="56"/>
    </row>
    <row r="33" spans="1:13" x14ac:dyDescent="0.25">
      <c r="A33" s="1" t="s">
        <v>191</v>
      </c>
      <c r="B33" s="1" t="s">
        <v>127</v>
      </c>
      <c r="C33" s="1" t="s">
        <v>98</v>
      </c>
      <c r="D33" s="19">
        <v>46195</v>
      </c>
      <c r="E33" s="19">
        <v>46466</v>
      </c>
      <c r="F33" s="48">
        <v>0.68</v>
      </c>
      <c r="G33" s="1">
        <v>3</v>
      </c>
      <c r="H33" s="1">
        <f>r_actions[[#This Row],[تاریخ پایان]]-r_actions[[#This Row],[تاریخ شروع]]</f>
        <v>271</v>
      </c>
      <c r="I33" s="14">
        <f>r_actions[[#This Row],[مدت زمان]]/365</f>
        <v>0.74246575342465748</v>
      </c>
      <c r="J33" s="20">
        <f>r_actions[[#This Row],[درصد وزنی]]*r_actions[[#This Row],[پیشرفت اجرا (%)]]</f>
        <v>0.50487671232876707</v>
      </c>
      <c r="M33" s="56"/>
    </row>
    <row r="34" spans="1:13" x14ac:dyDescent="0.25">
      <c r="A34" s="1" t="s">
        <v>192</v>
      </c>
      <c r="B34" s="1" t="s">
        <v>128</v>
      </c>
      <c r="C34" s="1" t="s">
        <v>93</v>
      </c>
      <c r="D34" s="19">
        <v>46102</v>
      </c>
      <c r="E34" s="19">
        <v>46132</v>
      </c>
      <c r="F34" s="48">
        <v>0.78</v>
      </c>
      <c r="G34" s="1">
        <v>2</v>
      </c>
      <c r="H34" s="1">
        <f>r_actions[[#This Row],[تاریخ پایان]]-r_actions[[#This Row],[تاریخ شروع]]</f>
        <v>30</v>
      </c>
      <c r="I34" s="14">
        <f>r_actions[[#This Row],[مدت زمان]]/365</f>
        <v>8.2191780821917804E-2</v>
      </c>
      <c r="J34" s="20">
        <f>r_actions[[#This Row],[درصد وزنی]]*r_actions[[#This Row],[پیشرفت اجرا (%)]]</f>
        <v>6.4109589041095885E-2</v>
      </c>
      <c r="M34" s="56"/>
    </row>
    <row r="35" spans="1:13" x14ac:dyDescent="0.25">
      <c r="A35" s="1" t="s">
        <v>192</v>
      </c>
      <c r="B35" s="1" t="s">
        <v>129</v>
      </c>
      <c r="C35" s="1" t="s">
        <v>95</v>
      </c>
      <c r="D35" s="19">
        <v>46133</v>
      </c>
      <c r="E35" s="19">
        <v>46163</v>
      </c>
      <c r="F35" s="48">
        <v>0.83</v>
      </c>
      <c r="G35" s="1">
        <v>10</v>
      </c>
      <c r="H35" s="1">
        <f>r_actions[[#This Row],[تاریخ پایان]]-r_actions[[#This Row],[تاریخ شروع]]</f>
        <v>30</v>
      </c>
      <c r="I35" s="14">
        <f>r_actions[[#This Row],[مدت زمان]]/365</f>
        <v>8.2191780821917804E-2</v>
      </c>
      <c r="J35" s="20">
        <f>r_actions[[#This Row],[درصد وزنی]]*r_actions[[#This Row],[پیشرفت اجرا (%)]]</f>
        <v>6.8219178082191773E-2</v>
      </c>
      <c r="M35" s="56"/>
    </row>
    <row r="36" spans="1:13" x14ac:dyDescent="0.25">
      <c r="A36" s="1" t="s">
        <v>192</v>
      </c>
      <c r="B36" s="1" t="s">
        <v>130</v>
      </c>
      <c r="C36" s="1" t="s">
        <v>97</v>
      </c>
      <c r="D36" s="19">
        <v>46164</v>
      </c>
      <c r="E36" s="19">
        <v>46194</v>
      </c>
      <c r="F36" s="48">
        <v>0.90000000000000013</v>
      </c>
      <c r="G36" s="1">
        <v>8</v>
      </c>
      <c r="H36" s="1">
        <f>r_actions[[#This Row],[تاریخ پایان]]-r_actions[[#This Row],[تاریخ شروع]]</f>
        <v>30</v>
      </c>
      <c r="I36" s="14">
        <f>r_actions[[#This Row],[مدت زمان]]/365</f>
        <v>8.2191780821917804E-2</v>
      </c>
      <c r="J36" s="20">
        <f>r_actions[[#This Row],[درصد وزنی]]*r_actions[[#This Row],[پیشرفت اجرا (%)]]</f>
        <v>7.3972602739726029E-2</v>
      </c>
      <c r="M36" s="56"/>
    </row>
    <row r="37" spans="1:13" x14ac:dyDescent="0.25">
      <c r="A37" s="1" t="s">
        <v>192</v>
      </c>
      <c r="B37" s="1" t="s">
        <v>131</v>
      </c>
      <c r="C37" s="1" t="s">
        <v>98</v>
      </c>
      <c r="D37" s="19">
        <v>46195</v>
      </c>
      <c r="E37" s="19">
        <v>46466</v>
      </c>
      <c r="F37" s="48">
        <v>0</v>
      </c>
      <c r="G37" s="1">
        <v>1</v>
      </c>
      <c r="H37" s="1">
        <f>r_actions[[#This Row],[تاریخ پایان]]-r_actions[[#This Row],[تاریخ شروع]]</f>
        <v>271</v>
      </c>
      <c r="I37" s="14">
        <f>r_actions[[#This Row],[مدت زمان]]/365</f>
        <v>0.74246575342465748</v>
      </c>
      <c r="J37" s="20">
        <f>r_actions[[#This Row],[درصد وزنی]]*r_actions[[#This Row],[پیشرفت اجرا (%)]]</f>
        <v>0</v>
      </c>
      <c r="M37" s="56"/>
    </row>
    <row r="38" spans="1:13" x14ac:dyDescent="0.25">
      <c r="A38" s="1" t="s">
        <v>193</v>
      </c>
      <c r="B38" s="1" t="s">
        <v>132</v>
      </c>
      <c r="C38" s="1" t="s">
        <v>93</v>
      </c>
      <c r="D38" s="19">
        <v>46102</v>
      </c>
      <c r="E38" s="19">
        <v>46132</v>
      </c>
      <c r="F38" s="48">
        <v>0.90000000000000013</v>
      </c>
      <c r="G38" s="1">
        <v>9</v>
      </c>
      <c r="H38" s="1">
        <f>r_actions[[#This Row],[تاریخ پایان]]-r_actions[[#This Row],[تاریخ شروع]]</f>
        <v>30</v>
      </c>
      <c r="I38" s="14">
        <f>r_actions[[#This Row],[مدت زمان]]/365</f>
        <v>8.2191780821917804E-2</v>
      </c>
      <c r="J38" s="20">
        <f>r_actions[[#This Row],[درصد وزنی]]*r_actions[[#This Row],[پیشرفت اجرا (%)]]</f>
        <v>7.3972602739726029E-2</v>
      </c>
      <c r="M38" s="56"/>
    </row>
    <row r="39" spans="1:13" x14ac:dyDescent="0.25">
      <c r="A39" s="1" t="s">
        <v>193</v>
      </c>
      <c r="B39" s="1" t="s">
        <v>133</v>
      </c>
      <c r="C39" s="1" t="s">
        <v>95</v>
      </c>
      <c r="D39" s="19">
        <v>46133</v>
      </c>
      <c r="E39" s="19">
        <v>46163</v>
      </c>
      <c r="F39" s="48">
        <v>0.12</v>
      </c>
      <c r="G39" s="1">
        <v>7</v>
      </c>
      <c r="H39" s="1">
        <f>r_actions[[#This Row],[تاریخ پایان]]-r_actions[[#This Row],[تاریخ شروع]]</f>
        <v>30</v>
      </c>
      <c r="I39" s="14">
        <f>r_actions[[#This Row],[مدت زمان]]/365</f>
        <v>8.2191780821917804E-2</v>
      </c>
      <c r="J39" s="20">
        <f>r_actions[[#This Row],[درصد وزنی]]*r_actions[[#This Row],[پیشرفت اجرا (%)]]</f>
        <v>9.8630136986301367E-3</v>
      </c>
      <c r="M39" s="56"/>
    </row>
    <row r="40" spans="1:13" x14ac:dyDescent="0.25">
      <c r="A40" s="1" t="s">
        <v>193</v>
      </c>
      <c r="B40" s="1" t="s">
        <v>134</v>
      </c>
      <c r="C40" s="1" t="s">
        <v>97</v>
      </c>
      <c r="D40" s="19">
        <v>46164</v>
      </c>
      <c r="E40" s="19">
        <v>46194</v>
      </c>
      <c r="F40" s="48">
        <v>0.22999999999999998</v>
      </c>
      <c r="G40" s="1">
        <v>6</v>
      </c>
      <c r="H40" s="1">
        <f>r_actions[[#This Row],[تاریخ پایان]]-r_actions[[#This Row],[تاریخ شروع]]</f>
        <v>30</v>
      </c>
      <c r="I40" s="14">
        <f>r_actions[[#This Row],[مدت زمان]]/365</f>
        <v>8.2191780821917804E-2</v>
      </c>
      <c r="J40" s="20">
        <f>r_actions[[#This Row],[درصد وزنی]]*r_actions[[#This Row],[پیشرفت اجرا (%)]]</f>
        <v>1.8904109589041092E-2</v>
      </c>
      <c r="M40" s="56"/>
    </row>
    <row r="41" spans="1:13" x14ac:dyDescent="0.25">
      <c r="A41" s="1" t="s">
        <v>193</v>
      </c>
      <c r="B41" s="1" t="s">
        <v>135</v>
      </c>
      <c r="C41" s="1" t="s">
        <v>98</v>
      </c>
      <c r="D41" s="19">
        <v>46195</v>
      </c>
      <c r="E41" s="19">
        <v>46466</v>
      </c>
      <c r="F41" s="48">
        <v>0.34</v>
      </c>
      <c r="G41" s="1">
        <v>10</v>
      </c>
      <c r="H41" s="1">
        <f>r_actions[[#This Row],[تاریخ پایان]]-r_actions[[#This Row],[تاریخ شروع]]</f>
        <v>271</v>
      </c>
      <c r="I41" s="14">
        <f>r_actions[[#This Row],[مدت زمان]]/365</f>
        <v>0.74246575342465748</v>
      </c>
      <c r="J41" s="20">
        <f>r_actions[[#This Row],[درصد وزنی]]*r_actions[[#This Row],[پیشرفت اجرا (%)]]</f>
        <v>0.25243835616438354</v>
      </c>
      <c r="M41" s="56"/>
    </row>
    <row r="42" spans="1:13" x14ac:dyDescent="0.25">
      <c r="A42" s="1" t="s">
        <v>194</v>
      </c>
      <c r="B42" s="1" t="s">
        <v>136</v>
      </c>
      <c r="C42" s="1" t="s">
        <v>93</v>
      </c>
      <c r="D42" s="19">
        <v>46102</v>
      </c>
      <c r="E42" s="19">
        <v>46132</v>
      </c>
      <c r="F42" s="48">
        <v>0.45000000000000007</v>
      </c>
      <c r="G42" s="1">
        <v>9</v>
      </c>
      <c r="H42" s="1">
        <f>r_actions[[#This Row],[تاریخ پایان]]-r_actions[[#This Row],[تاریخ شروع]]</f>
        <v>30</v>
      </c>
      <c r="I42" s="14">
        <f>r_actions[[#This Row],[مدت زمان]]/365</f>
        <v>8.2191780821917804E-2</v>
      </c>
      <c r="J42" s="20">
        <f>r_actions[[#This Row],[درصد وزنی]]*r_actions[[#This Row],[پیشرفت اجرا (%)]]</f>
        <v>3.6986301369863014E-2</v>
      </c>
      <c r="M42" s="56"/>
    </row>
    <row r="43" spans="1:13" x14ac:dyDescent="0.25">
      <c r="A43" s="1" t="s">
        <v>194</v>
      </c>
      <c r="B43" s="1" t="s">
        <v>137</v>
      </c>
      <c r="C43" s="1" t="s">
        <v>95</v>
      </c>
      <c r="D43" s="19">
        <v>46133</v>
      </c>
      <c r="E43" s="19">
        <v>46163</v>
      </c>
      <c r="F43" s="48">
        <v>0.45999999999999996</v>
      </c>
      <c r="G43" s="1">
        <v>6</v>
      </c>
      <c r="H43" s="1">
        <f>r_actions[[#This Row],[تاریخ پایان]]-r_actions[[#This Row],[تاریخ شروع]]</f>
        <v>30</v>
      </c>
      <c r="I43" s="14">
        <f>r_actions[[#This Row],[مدت زمان]]/365</f>
        <v>8.2191780821917804E-2</v>
      </c>
      <c r="J43" s="20">
        <f>r_actions[[#This Row],[درصد وزنی]]*r_actions[[#This Row],[پیشرفت اجرا (%)]]</f>
        <v>3.7808219178082185E-2</v>
      </c>
      <c r="M43" s="56"/>
    </row>
    <row r="44" spans="1:13" x14ac:dyDescent="0.25">
      <c r="A44" s="1" t="s">
        <v>194</v>
      </c>
      <c r="B44" s="1" t="s">
        <v>138</v>
      </c>
      <c r="C44" s="1" t="s">
        <v>97</v>
      </c>
      <c r="D44" s="19">
        <v>46164</v>
      </c>
      <c r="E44" s="19">
        <v>46194</v>
      </c>
      <c r="F44" s="48">
        <v>0.57999999999999996</v>
      </c>
      <c r="G44" s="1">
        <v>4</v>
      </c>
      <c r="H44" s="1">
        <f>r_actions[[#This Row],[تاریخ پایان]]-r_actions[[#This Row],[تاریخ شروع]]</f>
        <v>30</v>
      </c>
      <c r="I44" s="14">
        <f>r_actions[[#This Row],[مدت زمان]]/365</f>
        <v>8.2191780821917804E-2</v>
      </c>
      <c r="J44" s="20">
        <f>r_actions[[#This Row],[درصد وزنی]]*r_actions[[#This Row],[پیشرفت اجرا (%)]]</f>
        <v>4.7671232876712322E-2</v>
      </c>
      <c r="M44" s="56"/>
    </row>
    <row r="45" spans="1:13" x14ac:dyDescent="0.25">
      <c r="A45" s="1" t="s">
        <v>194</v>
      </c>
      <c r="B45" s="1" t="s">
        <v>139</v>
      </c>
      <c r="C45" s="1" t="s">
        <v>98</v>
      </c>
      <c r="D45" s="19">
        <v>46195</v>
      </c>
      <c r="E45" s="19">
        <v>46466</v>
      </c>
      <c r="F45" s="48">
        <v>0.68</v>
      </c>
      <c r="G45" s="1">
        <v>9</v>
      </c>
      <c r="H45" s="1">
        <f>r_actions[[#This Row],[تاریخ پایان]]-r_actions[[#This Row],[تاریخ شروع]]</f>
        <v>271</v>
      </c>
      <c r="I45" s="14">
        <f>r_actions[[#This Row],[مدت زمان]]/365</f>
        <v>0.74246575342465748</v>
      </c>
      <c r="J45" s="20">
        <f>r_actions[[#This Row],[درصد وزنی]]*r_actions[[#This Row],[پیشرفت اجرا (%)]]</f>
        <v>0.50487671232876707</v>
      </c>
      <c r="M45" s="56"/>
    </row>
    <row r="46" spans="1:13" x14ac:dyDescent="0.25">
      <c r="A46" s="1" t="s">
        <v>195</v>
      </c>
      <c r="B46" s="1" t="s">
        <v>140</v>
      </c>
      <c r="C46" s="1" t="s">
        <v>93</v>
      </c>
      <c r="D46" s="19">
        <v>46102</v>
      </c>
      <c r="E46" s="19">
        <v>46132</v>
      </c>
      <c r="F46" s="48">
        <v>0.78</v>
      </c>
      <c r="G46" s="1">
        <v>2</v>
      </c>
      <c r="H46" s="1">
        <f>r_actions[[#This Row],[تاریخ پایان]]-r_actions[[#This Row],[تاریخ شروع]]</f>
        <v>30</v>
      </c>
      <c r="I46" s="14">
        <f>r_actions[[#This Row],[مدت زمان]]/365</f>
        <v>8.2191780821917804E-2</v>
      </c>
      <c r="J46" s="20">
        <f>r_actions[[#This Row],[درصد وزنی]]*r_actions[[#This Row],[پیشرفت اجرا (%)]]</f>
        <v>6.4109589041095885E-2</v>
      </c>
      <c r="M46" s="56"/>
    </row>
    <row r="47" spans="1:13" x14ac:dyDescent="0.25">
      <c r="A47" s="1" t="s">
        <v>195</v>
      </c>
      <c r="B47" s="1" t="s">
        <v>141</v>
      </c>
      <c r="C47" s="1" t="s">
        <v>95</v>
      </c>
      <c r="D47" s="19">
        <v>46133</v>
      </c>
      <c r="E47" s="19">
        <v>46163</v>
      </c>
      <c r="F47" s="48">
        <v>0.83</v>
      </c>
      <c r="G47" s="1">
        <v>2</v>
      </c>
      <c r="H47" s="1">
        <f>r_actions[[#This Row],[تاریخ پایان]]-r_actions[[#This Row],[تاریخ شروع]]</f>
        <v>30</v>
      </c>
      <c r="I47" s="14">
        <f>r_actions[[#This Row],[مدت زمان]]/365</f>
        <v>8.2191780821917804E-2</v>
      </c>
      <c r="J47" s="20">
        <f>r_actions[[#This Row],[درصد وزنی]]*r_actions[[#This Row],[پیشرفت اجرا (%)]]</f>
        <v>6.8219178082191773E-2</v>
      </c>
      <c r="M47" s="56"/>
    </row>
    <row r="48" spans="1:13" x14ac:dyDescent="0.25">
      <c r="A48" s="1" t="s">
        <v>195</v>
      </c>
      <c r="B48" s="1" t="s">
        <v>142</v>
      </c>
      <c r="C48" s="1" t="s">
        <v>97</v>
      </c>
      <c r="D48" s="19">
        <v>46164</v>
      </c>
      <c r="E48" s="19">
        <v>46194</v>
      </c>
      <c r="F48" s="48">
        <v>0.90000000000000013</v>
      </c>
      <c r="G48" s="1">
        <v>9</v>
      </c>
      <c r="H48" s="1">
        <f>r_actions[[#This Row],[تاریخ پایان]]-r_actions[[#This Row],[تاریخ شروع]]</f>
        <v>30</v>
      </c>
      <c r="I48" s="14">
        <f>r_actions[[#This Row],[مدت زمان]]/365</f>
        <v>8.2191780821917804E-2</v>
      </c>
      <c r="J48" s="20">
        <f>r_actions[[#This Row],[درصد وزنی]]*r_actions[[#This Row],[پیشرفت اجرا (%)]]</f>
        <v>7.3972602739726029E-2</v>
      </c>
      <c r="M48" s="56"/>
    </row>
    <row r="49" spans="1:13" x14ac:dyDescent="0.25">
      <c r="A49" s="1" t="s">
        <v>195</v>
      </c>
      <c r="B49" s="1" t="s">
        <v>143</v>
      </c>
      <c r="C49" s="1" t="s">
        <v>98</v>
      </c>
      <c r="D49" s="19">
        <v>46195</v>
      </c>
      <c r="E49" s="19">
        <v>46466</v>
      </c>
      <c r="F49" s="48">
        <v>0.90000000000000013</v>
      </c>
      <c r="G49" s="1">
        <v>3</v>
      </c>
      <c r="H49" s="1">
        <f>r_actions[[#This Row],[تاریخ پایان]]-r_actions[[#This Row],[تاریخ شروع]]</f>
        <v>271</v>
      </c>
      <c r="I49" s="14">
        <f>r_actions[[#This Row],[مدت زمان]]/365</f>
        <v>0.74246575342465748</v>
      </c>
      <c r="J49" s="20">
        <f>r_actions[[#This Row],[درصد وزنی]]*r_actions[[#This Row],[پیشرفت اجرا (%)]]</f>
        <v>0.66821917808219178</v>
      </c>
      <c r="M49" s="56"/>
    </row>
    <row r="50" spans="1:13" x14ac:dyDescent="0.25">
      <c r="A50" s="1" t="s">
        <v>196</v>
      </c>
      <c r="B50" s="1" t="s">
        <v>144</v>
      </c>
      <c r="C50" s="1" t="s">
        <v>93</v>
      </c>
      <c r="D50" s="19">
        <v>46102</v>
      </c>
      <c r="E50" s="19">
        <v>46132</v>
      </c>
      <c r="F50" s="48">
        <v>0.12</v>
      </c>
      <c r="G50" s="1">
        <v>1</v>
      </c>
      <c r="H50" s="1">
        <f>r_actions[[#This Row],[تاریخ پایان]]-r_actions[[#This Row],[تاریخ شروع]]</f>
        <v>30</v>
      </c>
      <c r="I50" s="14">
        <f>r_actions[[#This Row],[مدت زمان]]/365</f>
        <v>8.2191780821917804E-2</v>
      </c>
      <c r="J50" s="20">
        <f>r_actions[[#This Row],[درصد وزنی]]*r_actions[[#This Row],[پیشرفت اجرا (%)]]</f>
        <v>9.8630136986301367E-3</v>
      </c>
      <c r="M50" s="56"/>
    </row>
    <row r="51" spans="1:13" x14ac:dyDescent="0.25">
      <c r="A51" s="1" t="s">
        <v>196</v>
      </c>
      <c r="B51" s="1" t="s">
        <v>145</v>
      </c>
      <c r="C51" s="1" t="s">
        <v>95</v>
      </c>
      <c r="D51" s="19">
        <v>46133</v>
      </c>
      <c r="E51" s="19">
        <v>46163</v>
      </c>
      <c r="F51" s="48">
        <v>0.22999999999999998</v>
      </c>
      <c r="G51" s="1">
        <v>2</v>
      </c>
      <c r="H51" s="1">
        <f>r_actions[[#This Row],[تاریخ پایان]]-r_actions[[#This Row],[تاریخ شروع]]</f>
        <v>30</v>
      </c>
      <c r="I51" s="14">
        <f>r_actions[[#This Row],[مدت زمان]]/365</f>
        <v>8.2191780821917804E-2</v>
      </c>
      <c r="J51" s="20">
        <f>r_actions[[#This Row],[درصد وزنی]]*r_actions[[#This Row],[پیشرفت اجرا (%)]]</f>
        <v>1.8904109589041092E-2</v>
      </c>
      <c r="M51" s="56"/>
    </row>
    <row r="52" spans="1:13" x14ac:dyDescent="0.25">
      <c r="A52" s="1" t="s">
        <v>196</v>
      </c>
      <c r="B52" s="1" t="s">
        <v>146</v>
      </c>
      <c r="C52" s="1" t="s">
        <v>97</v>
      </c>
      <c r="D52" s="19">
        <v>46164</v>
      </c>
      <c r="E52" s="19">
        <v>46194</v>
      </c>
      <c r="F52" s="48">
        <v>0.34</v>
      </c>
      <c r="G52" s="1">
        <v>6</v>
      </c>
      <c r="H52" s="1">
        <f>r_actions[[#This Row],[تاریخ پایان]]-r_actions[[#This Row],[تاریخ شروع]]</f>
        <v>30</v>
      </c>
      <c r="I52" s="14">
        <f>r_actions[[#This Row],[مدت زمان]]/365</f>
        <v>8.2191780821917804E-2</v>
      </c>
      <c r="J52" s="20">
        <f>r_actions[[#This Row],[درصد وزنی]]*r_actions[[#This Row],[پیشرفت اجرا (%)]]</f>
        <v>2.7945205479452055E-2</v>
      </c>
      <c r="M52" s="56"/>
    </row>
    <row r="53" spans="1:13" x14ac:dyDescent="0.25">
      <c r="A53" s="1" t="s">
        <v>196</v>
      </c>
      <c r="B53" s="1" t="s">
        <v>147</v>
      </c>
      <c r="C53" s="1" t="s">
        <v>98</v>
      </c>
      <c r="D53" s="19">
        <v>46195</v>
      </c>
      <c r="E53" s="19">
        <v>46466</v>
      </c>
      <c r="F53" s="48">
        <v>0.45000000000000007</v>
      </c>
      <c r="G53" s="1">
        <v>7</v>
      </c>
      <c r="H53" s="1">
        <f>r_actions[[#This Row],[تاریخ پایان]]-r_actions[[#This Row],[تاریخ شروع]]</f>
        <v>271</v>
      </c>
      <c r="I53" s="14">
        <f>r_actions[[#This Row],[مدت زمان]]/365</f>
        <v>0.74246575342465748</v>
      </c>
      <c r="J53" s="20">
        <f>r_actions[[#This Row],[درصد وزنی]]*r_actions[[#This Row],[پیشرفت اجرا (%)]]</f>
        <v>0.33410958904109589</v>
      </c>
      <c r="M53" s="56"/>
    </row>
    <row r="54" spans="1:13" x14ac:dyDescent="0.25">
      <c r="A54" s="1" t="s">
        <v>197</v>
      </c>
      <c r="B54" s="1" t="s">
        <v>148</v>
      </c>
      <c r="C54" s="1" t="s">
        <v>93</v>
      </c>
      <c r="D54" s="19">
        <v>46102</v>
      </c>
      <c r="E54" s="19">
        <v>46132</v>
      </c>
      <c r="F54" s="48">
        <v>0.45999999999999996</v>
      </c>
      <c r="G54" s="1">
        <v>2</v>
      </c>
      <c r="H54" s="1">
        <f>r_actions[[#This Row],[تاریخ پایان]]-r_actions[[#This Row],[تاریخ شروع]]</f>
        <v>30</v>
      </c>
      <c r="I54" s="14">
        <f>r_actions[[#This Row],[مدت زمان]]/365</f>
        <v>8.2191780821917804E-2</v>
      </c>
      <c r="J54" s="20">
        <f>r_actions[[#This Row],[درصد وزنی]]*r_actions[[#This Row],[پیشرفت اجرا (%)]]</f>
        <v>3.7808219178082185E-2</v>
      </c>
      <c r="M54" s="56"/>
    </row>
    <row r="55" spans="1:13" x14ac:dyDescent="0.25">
      <c r="A55" s="1" t="s">
        <v>197</v>
      </c>
      <c r="B55" s="1" t="s">
        <v>149</v>
      </c>
      <c r="C55" s="1" t="s">
        <v>95</v>
      </c>
      <c r="D55" s="19">
        <v>46133</v>
      </c>
      <c r="E55" s="19">
        <v>46163</v>
      </c>
      <c r="F55" s="48">
        <v>0.57999999999999996</v>
      </c>
      <c r="G55" s="1">
        <v>4</v>
      </c>
      <c r="H55" s="1">
        <f>r_actions[[#This Row],[تاریخ پایان]]-r_actions[[#This Row],[تاریخ شروع]]</f>
        <v>30</v>
      </c>
      <c r="I55" s="14">
        <f>r_actions[[#This Row],[مدت زمان]]/365</f>
        <v>8.2191780821917804E-2</v>
      </c>
      <c r="J55" s="20">
        <f>r_actions[[#This Row],[درصد وزنی]]*r_actions[[#This Row],[پیشرفت اجرا (%)]]</f>
        <v>4.7671232876712322E-2</v>
      </c>
      <c r="M55" s="56"/>
    </row>
    <row r="56" spans="1:13" x14ac:dyDescent="0.25">
      <c r="A56" s="1" t="s">
        <v>197</v>
      </c>
      <c r="B56" s="1" t="s">
        <v>150</v>
      </c>
      <c r="C56" s="1" t="s">
        <v>97</v>
      </c>
      <c r="D56" s="19">
        <v>46164</v>
      </c>
      <c r="E56" s="19">
        <v>46194</v>
      </c>
      <c r="F56" s="48">
        <v>0.68</v>
      </c>
      <c r="G56" s="1">
        <v>7</v>
      </c>
      <c r="H56" s="1">
        <f>r_actions[[#This Row],[تاریخ پایان]]-r_actions[[#This Row],[تاریخ شروع]]</f>
        <v>30</v>
      </c>
      <c r="I56" s="14">
        <f>r_actions[[#This Row],[مدت زمان]]/365</f>
        <v>8.2191780821917804E-2</v>
      </c>
      <c r="J56" s="20">
        <f>r_actions[[#This Row],[درصد وزنی]]*r_actions[[#This Row],[پیشرفت اجرا (%)]]</f>
        <v>5.589041095890411E-2</v>
      </c>
      <c r="M56" s="56"/>
    </row>
    <row r="57" spans="1:13" x14ac:dyDescent="0.25">
      <c r="A57" s="1" t="s">
        <v>197</v>
      </c>
      <c r="B57" s="1" t="s">
        <v>151</v>
      </c>
      <c r="C57" s="1" t="s">
        <v>98</v>
      </c>
      <c r="D57" s="19">
        <v>46195</v>
      </c>
      <c r="E57" s="19">
        <v>46466</v>
      </c>
      <c r="F57" s="48">
        <v>0.78</v>
      </c>
      <c r="G57" s="1">
        <v>7</v>
      </c>
      <c r="H57" s="1">
        <f>r_actions[[#This Row],[تاریخ پایان]]-r_actions[[#This Row],[تاریخ شروع]]</f>
        <v>271</v>
      </c>
      <c r="I57" s="14">
        <f>r_actions[[#This Row],[مدت زمان]]/365</f>
        <v>0.74246575342465748</v>
      </c>
      <c r="J57" s="20">
        <f>r_actions[[#This Row],[درصد وزنی]]*r_actions[[#This Row],[پیشرفت اجرا (%)]]</f>
        <v>0.57912328767123289</v>
      </c>
      <c r="M57" s="56"/>
    </row>
    <row r="58" spans="1:13" x14ac:dyDescent="0.25">
      <c r="A58" s="1" t="s">
        <v>198</v>
      </c>
      <c r="B58" s="1" t="s">
        <v>152</v>
      </c>
      <c r="C58" s="1" t="s">
        <v>93</v>
      </c>
      <c r="D58" s="19">
        <v>46102</v>
      </c>
      <c r="E58" s="19">
        <v>46132</v>
      </c>
      <c r="F58" s="48">
        <v>0.83</v>
      </c>
      <c r="G58" s="1">
        <v>7</v>
      </c>
      <c r="H58" s="1">
        <f>r_actions[[#This Row],[تاریخ پایان]]-r_actions[[#This Row],[تاریخ شروع]]</f>
        <v>30</v>
      </c>
      <c r="I58" s="14">
        <f>r_actions[[#This Row],[مدت زمان]]/365</f>
        <v>8.2191780821917804E-2</v>
      </c>
      <c r="J58" s="20">
        <f>r_actions[[#This Row],[درصد وزنی]]*r_actions[[#This Row],[پیشرفت اجرا (%)]]</f>
        <v>6.8219178082191773E-2</v>
      </c>
      <c r="M58" s="56"/>
    </row>
    <row r="59" spans="1:13" x14ac:dyDescent="0.25">
      <c r="A59" s="1" t="s">
        <v>198</v>
      </c>
      <c r="B59" s="1" t="s">
        <v>153</v>
      </c>
      <c r="C59" s="1" t="s">
        <v>95</v>
      </c>
      <c r="D59" s="19">
        <v>46133</v>
      </c>
      <c r="E59" s="19">
        <v>46163</v>
      </c>
      <c r="F59" s="48">
        <v>0.90000000000000013</v>
      </c>
      <c r="G59" s="1">
        <v>8</v>
      </c>
      <c r="H59" s="1">
        <f>r_actions[[#This Row],[تاریخ پایان]]-r_actions[[#This Row],[تاریخ شروع]]</f>
        <v>30</v>
      </c>
      <c r="I59" s="14">
        <f>r_actions[[#This Row],[مدت زمان]]/365</f>
        <v>8.2191780821917804E-2</v>
      </c>
      <c r="J59" s="20">
        <f>r_actions[[#This Row],[درصد وزنی]]*r_actions[[#This Row],[پیشرفت اجرا (%)]]</f>
        <v>7.3972602739726029E-2</v>
      </c>
      <c r="M59" s="56"/>
    </row>
    <row r="60" spans="1:13" x14ac:dyDescent="0.25">
      <c r="A60" s="1" t="s">
        <v>198</v>
      </c>
      <c r="B60" s="1" t="s">
        <v>154</v>
      </c>
      <c r="C60" s="1" t="s">
        <v>97</v>
      </c>
      <c r="D60" s="19">
        <v>46164</v>
      </c>
      <c r="E60" s="19">
        <v>46194</v>
      </c>
      <c r="F60" s="48">
        <v>0.90000000000000013</v>
      </c>
      <c r="G60" s="1">
        <v>10</v>
      </c>
      <c r="H60" s="1">
        <f>r_actions[[#This Row],[تاریخ پایان]]-r_actions[[#This Row],[تاریخ شروع]]</f>
        <v>30</v>
      </c>
      <c r="I60" s="14">
        <f>r_actions[[#This Row],[مدت زمان]]/365</f>
        <v>8.2191780821917804E-2</v>
      </c>
      <c r="J60" s="20">
        <f>r_actions[[#This Row],[درصد وزنی]]*r_actions[[#This Row],[پیشرفت اجرا (%)]]</f>
        <v>7.3972602739726029E-2</v>
      </c>
      <c r="M60" s="56"/>
    </row>
    <row r="61" spans="1:13" x14ac:dyDescent="0.25">
      <c r="A61" s="1" t="s">
        <v>198</v>
      </c>
      <c r="B61" s="1" t="s">
        <v>155</v>
      </c>
      <c r="C61" s="1" t="s">
        <v>98</v>
      </c>
      <c r="D61" s="19">
        <v>46195</v>
      </c>
      <c r="E61" s="19">
        <v>46466</v>
      </c>
      <c r="F61" s="48">
        <v>0.90000000000000013</v>
      </c>
      <c r="G61" s="1">
        <v>10</v>
      </c>
      <c r="H61" s="1">
        <f>r_actions[[#This Row],[تاریخ پایان]]-r_actions[[#This Row],[تاریخ شروع]]</f>
        <v>271</v>
      </c>
      <c r="I61" s="14">
        <f>r_actions[[#This Row],[مدت زمان]]/365</f>
        <v>0.74246575342465748</v>
      </c>
      <c r="J61" s="20">
        <f>r_actions[[#This Row],[درصد وزنی]]*r_actions[[#This Row],[پیشرفت اجرا (%)]]</f>
        <v>0.66821917808219178</v>
      </c>
      <c r="M61" s="56"/>
    </row>
    <row r="62" spans="1:13" x14ac:dyDescent="0.25">
      <c r="A62" s="1" t="s">
        <v>199</v>
      </c>
      <c r="B62" s="1" t="s">
        <v>156</v>
      </c>
      <c r="C62" s="1" t="s">
        <v>93</v>
      </c>
      <c r="D62" s="19">
        <v>46102</v>
      </c>
      <c r="E62" s="19">
        <v>46132</v>
      </c>
      <c r="F62" s="48">
        <v>0.12</v>
      </c>
      <c r="G62" s="1">
        <v>8</v>
      </c>
      <c r="H62" s="1">
        <f>r_actions[[#This Row],[تاریخ پایان]]-r_actions[[#This Row],[تاریخ شروع]]</f>
        <v>30</v>
      </c>
      <c r="I62" s="14">
        <f>r_actions[[#This Row],[مدت زمان]]/365</f>
        <v>8.2191780821917804E-2</v>
      </c>
      <c r="J62" s="20">
        <f>r_actions[[#This Row],[درصد وزنی]]*r_actions[[#This Row],[پیشرفت اجرا (%)]]</f>
        <v>9.8630136986301367E-3</v>
      </c>
      <c r="M62" s="56"/>
    </row>
    <row r="63" spans="1:13" x14ac:dyDescent="0.25">
      <c r="A63" s="1" t="s">
        <v>199</v>
      </c>
      <c r="B63" s="1" t="s">
        <v>157</v>
      </c>
      <c r="C63" s="1" t="s">
        <v>95</v>
      </c>
      <c r="D63" s="19">
        <v>46133</v>
      </c>
      <c r="E63" s="19">
        <v>46163</v>
      </c>
      <c r="F63" s="48">
        <v>0.22999999999999998</v>
      </c>
      <c r="G63" s="1">
        <v>1</v>
      </c>
      <c r="H63" s="1">
        <f>r_actions[[#This Row],[تاریخ پایان]]-r_actions[[#This Row],[تاریخ شروع]]</f>
        <v>30</v>
      </c>
      <c r="I63" s="14">
        <f>r_actions[[#This Row],[مدت زمان]]/365</f>
        <v>8.2191780821917804E-2</v>
      </c>
      <c r="J63" s="20">
        <f>r_actions[[#This Row],[درصد وزنی]]*r_actions[[#This Row],[پیشرفت اجرا (%)]]</f>
        <v>1.8904109589041092E-2</v>
      </c>
      <c r="M63" s="56"/>
    </row>
    <row r="64" spans="1:13" x14ac:dyDescent="0.25">
      <c r="A64" s="1" t="s">
        <v>199</v>
      </c>
      <c r="B64" s="1" t="s">
        <v>158</v>
      </c>
      <c r="C64" s="1" t="s">
        <v>97</v>
      </c>
      <c r="D64" s="19">
        <v>46164</v>
      </c>
      <c r="E64" s="19">
        <v>46194</v>
      </c>
      <c r="F64" s="48">
        <v>0.34</v>
      </c>
      <c r="G64" s="1">
        <v>2</v>
      </c>
      <c r="H64" s="1">
        <f>r_actions[[#This Row],[تاریخ پایان]]-r_actions[[#This Row],[تاریخ شروع]]</f>
        <v>30</v>
      </c>
      <c r="I64" s="14">
        <f>r_actions[[#This Row],[مدت زمان]]/365</f>
        <v>8.2191780821917804E-2</v>
      </c>
      <c r="J64" s="20">
        <f>r_actions[[#This Row],[درصد وزنی]]*r_actions[[#This Row],[پیشرفت اجرا (%)]]</f>
        <v>2.7945205479452055E-2</v>
      </c>
      <c r="M64" s="56"/>
    </row>
    <row r="65" spans="1:13" x14ac:dyDescent="0.25">
      <c r="A65" s="1" t="s">
        <v>199</v>
      </c>
      <c r="B65" s="1" t="s">
        <v>159</v>
      </c>
      <c r="C65" s="1" t="s">
        <v>98</v>
      </c>
      <c r="D65" s="19">
        <v>46195</v>
      </c>
      <c r="E65" s="19">
        <v>46466</v>
      </c>
      <c r="F65" s="48">
        <v>0.45000000000000007</v>
      </c>
      <c r="G65" s="1">
        <v>1</v>
      </c>
      <c r="H65" s="1">
        <f>r_actions[[#This Row],[تاریخ پایان]]-r_actions[[#This Row],[تاریخ شروع]]</f>
        <v>271</v>
      </c>
      <c r="I65" s="14">
        <f>r_actions[[#This Row],[مدت زمان]]/365</f>
        <v>0.74246575342465748</v>
      </c>
      <c r="J65" s="20">
        <f>r_actions[[#This Row],[درصد وزنی]]*r_actions[[#This Row],[پیشرفت اجرا (%)]]</f>
        <v>0.33410958904109589</v>
      </c>
      <c r="M65" s="56"/>
    </row>
    <row r="66" spans="1:13" x14ac:dyDescent="0.25">
      <c r="A66" s="1" t="s">
        <v>200</v>
      </c>
      <c r="B66" s="1" t="s">
        <v>160</v>
      </c>
      <c r="C66" s="1" t="s">
        <v>93</v>
      </c>
      <c r="D66" s="19">
        <v>46102</v>
      </c>
      <c r="E66" s="19">
        <v>46132</v>
      </c>
      <c r="F66" s="48">
        <v>0.45999999999999996</v>
      </c>
      <c r="G66" s="1">
        <v>9</v>
      </c>
      <c r="H66" s="1">
        <f>r_actions[[#This Row],[تاریخ پایان]]-r_actions[[#This Row],[تاریخ شروع]]</f>
        <v>30</v>
      </c>
      <c r="I66" s="14">
        <f>r_actions[[#This Row],[مدت زمان]]/365</f>
        <v>8.2191780821917804E-2</v>
      </c>
      <c r="J66" s="20">
        <f>r_actions[[#This Row],[درصد وزنی]]*r_actions[[#This Row],[پیشرفت اجرا (%)]]</f>
        <v>3.7808219178082185E-2</v>
      </c>
      <c r="M66" s="56"/>
    </row>
    <row r="67" spans="1:13" x14ac:dyDescent="0.25">
      <c r="A67" s="1" t="s">
        <v>200</v>
      </c>
      <c r="B67" s="1" t="s">
        <v>161</v>
      </c>
      <c r="C67" s="1" t="s">
        <v>95</v>
      </c>
      <c r="D67" s="19">
        <v>46133</v>
      </c>
      <c r="E67" s="19">
        <v>46163</v>
      </c>
      <c r="F67" s="48">
        <v>0.57999999999999996</v>
      </c>
      <c r="G67" s="1">
        <v>4</v>
      </c>
      <c r="H67" s="1">
        <f>r_actions[[#This Row],[تاریخ پایان]]-r_actions[[#This Row],[تاریخ شروع]]</f>
        <v>30</v>
      </c>
      <c r="I67" s="14">
        <f>r_actions[[#This Row],[مدت زمان]]/365</f>
        <v>8.2191780821917804E-2</v>
      </c>
      <c r="J67" s="20">
        <f>r_actions[[#This Row],[درصد وزنی]]*r_actions[[#This Row],[پیشرفت اجرا (%)]]</f>
        <v>4.7671232876712322E-2</v>
      </c>
      <c r="M67" s="56"/>
    </row>
    <row r="68" spans="1:13" x14ac:dyDescent="0.25">
      <c r="A68" s="1" t="s">
        <v>200</v>
      </c>
      <c r="B68" s="1" t="s">
        <v>122</v>
      </c>
      <c r="C68" s="1" t="s">
        <v>97</v>
      </c>
      <c r="D68" s="19">
        <v>46164</v>
      </c>
      <c r="E68" s="19">
        <v>46194</v>
      </c>
      <c r="F68" s="48">
        <v>0.68</v>
      </c>
      <c r="G68" s="1">
        <v>7</v>
      </c>
      <c r="H68" s="1">
        <f>r_actions[[#This Row],[تاریخ پایان]]-r_actions[[#This Row],[تاریخ شروع]]</f>
        <v>30</v>
      </c>
      <c r="I68" s="14">
        <f>r_actions[[#This Row],[مدت زمان]]/365</f>
        <v>8.2191780821917804E-2</v>
      </c>
      <c r="J68" s="20">
        <f>r_actions[[#This Row],[درصد وزنی]]*r_actions[[#This Row],[پیشرفت اجرا (%)]]</f>
        <v>5.589041095890411E-2</v>
      </c>
      <c r="M68" s="56"/>
    </row>
    <row r="69" spans="1:13" x14ac:dyDescent="0.25">
      <c r="A69" s="1" t="s">
        <v>200</v>
      </c>
      <c r="B69" s="1" t="s">
        <v>123</v>
      </c>
      <c r="C69" s="1" t="s">
        <v>98</v>
      </c>
      <c r="D69" s="19">
        <v>46195</v>
      </c>
      <c r="E69" s="19">
        <v>46466</v>
      </c>
      <c r="F69" s="48">
        <v>0.78</v>
      </c>
      <c r="G69" s="1">
        <v>3</v>
      </c>
      <c r="H69" s="1">
        <f>r_actions[[#This Row],[تاریخ پایان]]-r_actions[[#This Row],[تاریخ شروع]]</f>
        <v>271</v>
      </c>
      <c r="I69" s="14">
        <f>r_actions[[#This Row],[مدت زمان]]/365</f>
        <v>0.74246575342465748</v>
      </c>
      <c r="J69" s="20">
        <f>r_actions[[#This Row],[درصد وزنی]]*r_actions[[#This Row],[پیشرفت اجرا (%)]]</f>
        <v>0.57912328767123289</v>
      </c>
      <c r="M69" s="56"/>
    </row>
    <row r="70" spans="1:13" x14ac:dyDescent="0.25">
      <c r="A70" s="1" t="s">
        <v>201</v>
      </c>
      <c r="B70" s="1" t="s">
        <v>124</v>
      </c>
      <c r="C70" s="1" t="s">
        <v>93</v>
      </c>
      <c r="D70" s="19">
        <v>46102</v>
      </c>
      <c r="E70" s="19">
        <v>46132</v>
      </c>
      <c r="F70" s="48">
        <v>0.83</v>
      </c>
      <c r="G70" s="1">
        <v>7</v>
      </c>
      <c r="H70" s="1">
        <f>r_actions[[#This Row],[تاریخ پایان]]-r_actions[[#This Row],[تاریخ شروع]]</f>
        <v>30</v>
      </c>
      <c r="I70" s="14">
        <f>r_actions[[#This Row],[مدت زمان]]/365</f>
        <v>8.2191780821917804E-2</v>
      </c>
      <c r="J70" s="20">
        <f>r_actions[[#This Row],[درصد وزنی]]*r_actions[[#This Row],[پیشرفت اجرا (%)]]</f>
        <v>6.8219178082191773E-2</v>
      </c>
      <c r="M70" s="56"/>
    </row>
    <row r="71" spans="1:13" x14ac:dyDescent="0.25">
      <c r="A71" s="1" t="s">
        <v>201</v>
      </c>
      <c r="B71" s="1" t="s">
        <v>125</v>
      </c>
      <c r="C71" s="1" t="s">
        <v>95</v>
      </c>
      <c r="D71" s="19">
        <v>46133</v>
      </c>
      <c r="E71" s="19">
        <v>46163</v>
      </c>
      <c r="F71" s="48">
        <v>0.90000000000000013</v>
      </c>
      <c r="G71" s="1">
        <v>3</v>
      </c>
      <c r="H71" s="1">
        <f>r_actions[[#This Row],[تاریخ پایان]]-r_actions[[#This Row],[تاریخ شروع]]</f>
        <v>30</v>
      </c>
      <c r="I71" s="14">
        <f>r_actions[[#This Row],[مدت زمان]]/365</f>
        <v>8.2191780821917804E-2</v>
      </c>
      <c r="J71" s="20">
        <f>r_actions[[#This Row],[درصد وزنی]]*r_actions[[#This Row],[پیشرفت اجرا (%)]]</f>
        <v>7.3972602739726029E-2</v>
      </c>
      <c r="M71" s="56"/>
    </row>
    <row r="72" spans="1:13" x14ac:dyDescent="0.25">
      <c r="A72" s="1" t="s">
        <v>201</v>
      </c>
      <c r="B72" s="1" t="s">
        <v>126</v>
      </c>
      <c r="C72" s="1" t="s">
        <v>97</v>
      </c>
      <c r="D72" s="19">
        <v>46164</v>
      </c>
      <c r="E72" s="19">
        <v>46194</v>
      </c>
      <c r="F72" s="48">
        <v>0.90000000000000013</v>
      </c>
      <c r="G72" s="1">
        <v>4</v>
      </c>
      <c r="H72" s="1">
        <f>r_actions[[#This Row],[تاریخ پایان]]-r_actions[[#This Row],[تاریخ شروع]]</f>
        <v>30</v>
      </c>
      <c r="I72" s="14">
        <f>r_actions[[#This Row],[مدت زمان]]/365</f>
        <v>8.2191780821917804E-2</v>
      </c>
      <c r="J72" s="20">
        <f>r_actions[[#This Row],[درصد وزنی]]*r_actions[[#This Row],[پیشرفت اجرا (%)]]</f>
        <v>7.3972602739726029E-2</v>
      </c>
      <c r="M72" s="56"/>
    </row>
    <row r="73" spans="1:13" x14ac:dyDescent="0.25">
      <c r="A73" s="1" t="s">
        <v>201</v>
      </c>
      <c r="B73" s="1" t="s">
        <v>127</v>
      </c>
      <c r="C73" s="1" t="s">
        <v>98</v>
      </c>
      <c r="D73" s="19">
        <v>46195</v>
      </c>
      <c r="E73" s="19">
        <v>46466</v>
      </c>
      <c r="F73" s="48">
        <v>0</v>
      </c>
      <c r="G73" s="1">
        <v>10</v>
      </c>
      <c r="H73" s="1">
        <f>r_actions[[#This Row],[تاریخ پایان]]-r_actions[[#This Row],[تاریخ شروع]]</f>
        <v>271</v>
      </c>
      <c r="I73" s="14">
        <f>r_actions[[#This Row],[مدت زمان]]/365</f>
        <v>0.74246575342465748</v>
      </c>
      <c r="J73" s="20">
        <f>r_actions[[#This Row],[درصد وزنی]]*r_actions[[#This Row],[پیشرفت اجرا (%)]]</f>
        <v>0</v>
      </c>
      <c r="M73" s="56"/>
    </row>
    <row r="74" spans="1:13" x14ac:dyDescent="0.25">
      <c r="A74" s="3" t="s">
        <v>202</v>
      </c>
      <c r="B74" s="3" t="s">
        <v>252</v>
      </c>
      <c r="C74" s="3" t="s">
        <v>253</v>
      </c>
      <c r="D74" s="19">
        <v>46102</v>
      </c>
      <c r="E74" s="19">
        <v>46194</v>
      </c>
      <c r="F74" s="48">
        <v>0.90000000000000013</v>
      </c>
      <c r="G74" s="3">
        <v>1</v>
      </c>
      <c r="H74" s="29">
        <f>r_actions[[#This Row],[تاریخ پایان]]-r_actions[[#This Row],[تاریخ شروع]]</f>
        <v>92</v>
      </c>
      <c r="I74" s="14">
        <f>r_actions[[#This Row],[مدت زمان]]/365</f>
        <v>0.25205479452054796</v>
      </c>
      <c r="J74" s="20">
        <f>r_actions[[#This Row],[درصد وزنی]]*r_actions[[#This Row],[پیشرفت اجرا (%)]]</f>
        <v>0.22684931506849321</v>
      </c>
      <c r="M74" s="56"/>
    </row>
    <row r="75" spans="1:13" x14ac:dyDescent="0.25">
      <c r="A75" s="3" t="s">
        <v>202</v>
      </c>
      <c r="B75" s="3" t="s">
        <v>254</v>
      </c>
      <c r="C75" s="3" t="s">
        <v>255</v>
      </c>
      <c r="D75" s="19">
        <v>46195</v>
      </c>
      <c r="E75" s="19">
        <f>r_actions[[#This Row],[تاریخ شروع]]+92</f>
        <v>46287</v>
      </c>
      <c r="F75" s="48">
        <v>0.12</v>
      </c>
      <c r="G75" s="3">
        <v>2</v>
      </c>
      <c r="H75" s="29">
        <f>r_actions[[#This Row],[تاریخ پایان]]-r_actions[[#This Row],[تاریخ شروع]]</f>
        <v>92</v>
      </c>
      <c r="I75" s="14">
        <f>r_actions[[#This Row],[مدت زمان]]/365</f>
        <v>0.25205479452054796</v>
      </c>
      <c r="J75" s="20">
        <f>r_actions[[#This Row],[درصد وزنی]]*r_actions[[#This Row],[پیشرفت اجرا (%)]]</f>
        <v>3.0246575342465755E-2</v>
      </c>
      <c r="M75" s="56"/>
    </row>
    <row r="76" spans="1:13" x14ac:dyDescent="0.25">
      <c r="A76" s="3" t="s">
        <v>202</v>
      </c>
      <c r="B76" s="3" t="s">
        <v>256</v>
      </c>
      <c r="C76" s="3" t="s">
        <v>257</v>
      </c>
      <c r="D76" s="19">
        <f>E75</f>
        <v>46287</v>
      </c>
      <c r="E76" s="19">
        <f>r_actions[[#This Row],[تاریخ شروع]]+90</f>
        <v>46377</v>
      </c>
      <c r="F76" s="48">
        <v>0.22999999999999998</v>
      </c>
      <c r="G76" s="3">
        <v>1</v>
      </c>
      <c r="H76" s="29">
        <f>r_actions[[#This Row],[تاریخ پایان]]-r_actions[[#This Row],[تاریخ شروع]]</f>
        <v>90</v>
      </c>
      <c r="I76" s="14">
        <f>r_actions[[#This Row],[مدت زمان]]/365</f>
        <v>0.24657534246575341</v>
      </c>
      <c r="J76" s="20">
        <f>r_actions[[#This Row],[درصد وزنی]]*r_actions[[#This Row],[پیشرفت اجرا (%)]]</f>
        <v>5.6712328767123281E-2</v>
      </c>
      <c r="M76" s="56"/>
    </row>
    <row r="77" spans="1:13" x14ac:dyDescent="0.25">
      <c r="A77" s="3" t="s">
        <v>202</v>
      </c>
      <c r="B77" s="3" t="s">
        <v>259</v>
      </c>
      <c r="C77" s="3" t="s">
        <v>258</v>
      </c>
      <c r="D77" s="19">
        <f>E76</f>
        <v>46377</v>
      </c>
      <c r="E77" s="19">
        <f>r_actions[[#This Row],[تاریخ شروع]]+89</f>
        <v>46466</v>
      </c>
      <c r="F77" s="48">
        <v>0.34</v>
      </c>
      <c r="G77" s="3">
        <v>9</v>
      </c>
      <c r="H77" s="29">
        <f>r_actions[[#This Row],[تاریخ پایان]]-r_actions[[#This Row],[تاریخ شروع]]</f>
        <v>89</v>
      </c>
      <c r="I77" s="14">
        <f>r_actions[[#This Row],[مدت زمان]]/365</f>
        <v>0.24383561643835616</v>
      </c>
      <c r="J77" s="20">
        <f>r_actions[[#This Row],[درصد وزنی]]*r_actions[[#This Row],[پیشرفت اجرا (%)]]</f>
        <v>8.2904109589041097E-2</v>
      </c>
      <c r="M77" s="56"/>
    </row>
    <row r="78" spans="1:13" x14ac:dyDescent="0.25">
      <c r="A78" s="5" t="s">
        <v>203</v>
      </c>
      <c r="B78" s="3" t="s">
        <v>260</v>
      </c>
      <c r="C78" s="3" t="s">
        <v>262</v>
      </c>
      <c r="D78" s="19">
        <v>46102</v>
      </c>
      <c r="E78" s="19">
        <v>46163</v>
      </c>
      <c r="F78" s="48">
        <v>0.45000000000000007</v>
      </c>
      <c r="G78" s="3">
        <v>4</v>
      </c>
      <c r="H78" s="29">
        <f>r_actions[[#This Row],[تاریخ پایان]]-r_actions[[#This Row],[تاریخ شروع]]</f>
        <v>61</v>
      </c>
      <c r="I78" s="14">
        <f>r_actions[[#This Row],[مدت زمان]]/365</f>
        <v>0.16712328767123288</v>
      </c>
      <c r="J78" s="20">
        <f>r_actions[[#This Row],[درصد وزنی]]*r_actions[[#This Row],[پیشرفت اجرا (%)]]</f>
        <v>7.5205479452054816E-2</v>
      </c>
      <c r="M78" s="56"/>
    </row>
    <row r="79" spans="1:13" x14ac:dyDescent="0.25">
      <c r="A79" s="5" t="s">
        <v>203</v>
      </c>
      <c r="B79" s="3" t="s">
        <v>261</v>
      </c>
      <c r="C79" s="3" t="s">
        <v>263</v>
      </c>
      <c r="D79" s="19">
        <v>46164</v>
      </c>
      <c r="E79" s="19">
        <f>r_actions[[#This Row],[تاریخ شروع]]+92</f>
        <v>46256</v>
      </c>
      <c r="F79" s="48">
        <v>0.45999999999999996</v>
      </c>
      <c r="G79" s="3">
        <v>7</v>
      </c>
      <c r="H79" s="29">
        <f>r_actions[[#This Row],[تاریخ پایان]]-r_actions[[#This Row],[تاریخ شروع]]</f>
        <v>92</v>
      </c>
      <c r="I79" s="14">
        <f>r_actions[[#This Row],[مدت زمان]]/365</f>
        <v>0.25205479452054796</v>
      </c>
      <c r="J79" s="20">
        <f>r_actions[[#This Row],[درصد وزنی]]*r_actions[[#This Row],[پیشرفت اجرا (%)]]</f>
        <v>0.11594520547945206</v>
      </c>
      <c r="M79" s="56"/>
    </row>
    <row r="80" spans="1:13" x14ac:dyDescent="0.25">
      <c r="A80" s="5" t="s">
        <v>203</v>
      </c>
      <c r="B80" s="3" t="s">
        <v>267</v>
      </c>
      <c r="C80" s="3" t="s">
        <v>264</v>
      </c>
      <c r="D80" s="19">
        <f>E79+1</f>
        <v>46257</v>
      </c>
      <c r="E80" s="19">
        <f>r_actions[[#This Row],[تاریخ شروع]]+90</f>
        <v>46347</v>
      </c>
      <c r="F80" s="48">
        <v>0.57999999999999996</v>
      </c>
      <c r="G80" s="3">
        <v>3</v>
      </c>
      <c r="H80" s="29">
        <f>r_actions[[#This Row],[تاریخ پایان]]-r_actions[[#This Row],[تاریخ شروع]]</f>
        <v>90</v>
      </c>
      <c r="I80" s="14">
        <f>r_actions[[#This Row],[مدت زمان]]/365</f>
        <v>0.24657534246575341</v>
      </c>
      <c r="J80" s="20">
        <f>r_actions[[#This Row],[درصد وزنی]]*r_actions[[#This Row],[پیشرفت اجرا (%)]]</f>
        <v>0.14301369863013697</v>
      </c>
      <c r="M80" s="56"/>
    </row>
    <row r="81" spans="1:13" x14ac:dyDescent="0.25">
      <c r="A81" s="5" t="s">
        <v>203</v>
      </c>
      <c r="B81" s="3" t="s">
        <v>266</v>
      </c>
      <c r="C81" s="3" t="s">
        <v>265</v>
      </c>
      <c r="D81" s="19">
        <f>E80+1</f>
        <v>46348</v>
      </c>
      <c r="E81" s="19">
        <f>r_actions[[#This Row],[تاریخ شروع]]+118</f>
        <v>46466</v>
      </c>
      <c r="F81" s="48">
        <v>0.68</v>
      </c>
      <c r="G81" s="3">
        <v>7</v>
      </c>
      <c r="H81" s="29">
        <f>r_actions[[#This Row],[تاریخ پایان]]-r_actions[[#This Row],[تاریخ شروع]]</f>
        <v>118</v>
      </c>
      <c r="I81" s="14">
        <f>r_actions[[#This Row],[مدت زمان]]/365</f>
        <v>0.32328767123287672</v>
      </c>
      <c r="J81" s="20">
        <f>r_actions[[#This Row],[درصد وزنی]]*r_actions[[#This Row],[پیشرفت اجرا (%)]]</f>
        <v>0.2198356164383562</v>
      </c>
      <c r="M81" s="56"/>
    </row>
    <row r="82" spans="1:13" x14ac:dyDescent="0.25">
      <c r="A82" s="5" t="s">
        <v>204</v>
      </c>
      <c r="B82" s="3" t="s">
        <v>274</v>
      </c>
      <c r="C82" s="3" t="s">
        <v>253</v>
      </c>
      <c r="D82" s="19">
        <v>46102</v>
      </c>
      <c r="E82" s="19">
        <v>46194</v>
      </c>
      <c r="F82" s="48">
        <v>0.78</v>
      </c>
      <c r="G82" s="3">
        <v>3</v>
      </c>
      <c r="H82" s="29">
        <f>r_actions[[#This Row],[تاریخ پایان]]-r_actions[[#This Row],[تاریخ شروع]]</f>
        <v>92</v>
      </c>
      <c r="I82" s="14">
        <f>r_actions[[#This Row],[مدت زمان]]/365</f>
        <v>0.25205479452054796</v>
      </c>
      <c r="J82" s="20">
        <f>r_actions[[#This Row],[درصد وزنی]]*r_actions[[#This Row],[پیشرفت اجرا (%)]]</f>
        <v>0.19660273972602743</v>
      </c>
      <c r="M82" s="56"/>
    </row>
    <row r="83" spans="1:13" x14ac:dyDescent="0.25">
      <c r="A83" s="5" t="s">
        <v>204</v>
      </c>
      <c r="B83" s="3" t="s">
        <v>273</v>
      </c>
      <c r="C83" s="3" t="s">
        <v>268</v>
      </c>
      <c r="D83" s="19">
        <v>46195</v>
      </c>
      <c r="E83" s="19">
        <f>r_actions[[#This Row],[تاریخ شروع]]+122</f>
        <v>46317</v>
      </c>
      <c r="F83" s="48">
        <v>0.83</v>
      </c>
      <c r="G83" s="3">
        <v>4</v>
      </c>
      <c r="H83" s="29">
        <f>r_actions[[#This Row],[تاریخ پایان]]-r_actions[[#This Row],[تاریخ شروع]]</f>
        <v>122</v>
      </c>
      <c r="I83" s="14">
        <f>r_actions[[#This Row],[مدت زمان]]/365</f>
        <v>0.33424657534246577</v>
      </c>
      <c r="J83" s="20">
        <f>r_actions[[#This Row],[درصد وزنی]]*r_actions[[#This Row],[پیشرفت اجرا (%)]]</f>
        <v>0.27742465753424655</v>
      </c>
      <c r="M83" s="56"/>
    </row>
    <row r="84" spans="1:13" x14ac:dyDescent="0.25">
      <c r="A84" s="5" t="s">
        <v>204</v>
      </c>
      <c r="B84" s="3" t="s">
        <v>272</v>
      </c>
      <c r="C84" s="3" t="s">
        <v>269</v>
      </c>
      <c r="D84" s="19">
        <f>E83+1</f>
        <v>46318</v>
      </c>
      <c r="E84" s="19">
        <f>r_actions[[#This Row],[تاریخ شروع]]+89</f>
        <v>46407</v>
      </c>
      <c r="F84" s="48">
        <v>0</v>
      </c>
      <c r="G84" s="3">
        <v>10</v>
      </c>
      <c r="H84" s="29">
        <f>r_actions[[#This Row],[تاریخ پایان]]-r_actions[[#This Row],[تاریخ شروع]]</f>
        <v>89</v>
      </c>
      <c r="I84" s="14">
        <f>r_actions[[#This Row],[مدت زمان]]/365</f>
        <v>0.24383561643835616</v>
      </c>
      <c r="J84" s="20">
        <f>r_actions[[#This Row],[درصد وزنی]]*r_actions[[#This Row],[پیشرفت اجرا (%)]]</f>
        <v>0</v>
      </c>
      <c r="M84" s="56"/>
    </row>
    <row r="85" spans="1:13" x14ac:dyDescent="0.25">
      <c r="A85" s="5" t="s">
        <v>204</v>
      </c>
      <c r="B85" s="3" t="s">
        <v>271</v>
      </c>
      <c r="C85" s="3" t="s">
        <v>270</v>
      </c>
      <c r="D85" s="19">
        <f>E84+1</f>
        <v>46408</v>
      </c>
      <c r="E85" s="19">
        <f>r_actions[[#This Row],[تاریخ شروع]]+58</f>
        <v>46466</v>
      </c>
      <c r="F85" s="48">
        <v>0.45999999999999996</v>
      </c>
      <c r="G85" s="3">
        <v>7</v>
      </c>
      <c r="H85" s="29">
        <f>r_actions[[#This Row],[تاریخ پایان]]-r_actions[[#This Row],[تاریخ شروع]]</f>
        <v>58</v>
      </c>
      <c r="I85" s="14">
        <f>r_actions[[#This Row],[مدت زمان]]/365</f>
        <v>0.15890410958904111</v>
      </c>
      <c r="J85" s="20">
        <f>r_actions[[#This Row],[درصد وزنی]]*r_actions[[#This Row],[پیشرفت اجرا (%)]]</f>
        <v>7.3095890410958902E-2</v>
      </c>
      <c r="M85" s="56"/>
    </row>
    <row r="86" spans="1:13" x14ac:dyDescent="0.25">
      <c r="A86" s="5" t="s">
        <v>205</v>
      </c>
      <c r="B86" s="3" t="s">
        <v>275</v>
      </c>
      <c r="C86" s="3" t="s">
        <v>253</v>
      </c>
      <c r="D86" s="19">
        <v>46102</v>
      </c>
      <c r="E86" s="19">
        <v>46194</v>
      </c>
      <c r="F86" s="48">
        <v>0.57999999999999996</v>
      </c>
      <c r="G86" s="3">
        <v>3</v>
      </c>
      <c r="H86" s="29">
        <f>r_actions[[#This Row],[تاریخ پایان]]-r_actions[[#This Row],[تاریخ شروع]]</f>
        <v>92</v>
      </c>
      <c r="I86" s="14">
        <f>r_actions[[#This Row],[مدت زمان]]/365</f>
        <v>0.25205479452054796</v>
      </c>
      <c r="J86" s="20">
        <f>r_actions[[#This Row],[درصد وزنی]]*r_actions[[#This Row],[پیشرفت اجرا (%)]]</f>
        <v>0.1461917808219178</v>
      </c>
      <c r="M86" s="56"/>
    </row>
    <row r="87" spans="1:13" x14ac:dyDescent="0.25">
      <c r="A87" s="5" t="s">
        <v>205</v>
      </c>
      <c r="B87" s="3" t="s">
        <v>276</v>
      </c>
      <c r="C87" s="3" t="s">
        <v>255</v>
      </c>
      <c r="D87" s="19">
        <v>46195</v>
      </c>
      <c r="E87" s="19">
        <f>r_actions[[#This Row],[تاریخ شروع]]+92</f>
        <v>46287</v>
      </c>
      <c r="F87" s="48">
        <v>0.68</v>
      </c>
      <c r="G87" s="3">
        <v>7</v>
      </c>
      <c r="H87" s="29">
        <f>r_actions[[#This Row],[تاریخ پایان]]-r_actions[[#This Row],[تاریخ شروع]]</f>
        <v>92</v>
      </c>
      <c r="I87" s="14">
        <f>r_actions[[#This Row],[مدت زمان]]/365</f>
        <v>0.25205479452054796</v>
      </c>
      <c r="J87" s="20">
        <f>r_actions[[#This Row],[درصد وزنی]]*r_actions[[#This Row],[پیشرفت اجرا (%)]]</f>
        <v>0.17139726027397262</v>
      </c>
      <c r="M87" s="56"/>
    </row>
    <row r="88" spans="1:13" x14ac:dyDescent="0.25">
      <c r="A88" s="5" t="s">
        <v>205</v>
      </c>
      <c r="B88" s="3" t="s">
        <v>277</v>
      </c>
      <c r="C88" s="3" t="s">
        <v>257</v>
      </c>
      <c r="D88" s="19">
        <f>E87</f>
        <v>46287</v>
      </c>
      <c r="E88" s="19">
        <f>r_actions[[#This Row],[تاریخ شروع]]+90</f>
        <v>46377</v>
      </c>
      <c r="F88" s="48">
        <v>0</v>
      </c>
      <c r="G88" s="3">
        <v>2</v>
      </c>
      <c r="H88" s="29">
        <f>r_actions[[#This Row],[تاریخ پایان]]-r_actions[[#This Row],[تاریخ شروع]]</f>
        <v>90</v>
      </c>
      <c r="I88" s="14">
        <f>r_actions[[#This Row],[مدت زمان]]/365</f>
        <v>0.24657534246575341</v>
      </c>
      <c r="J88" s="20">
        <f>r_actions[[#This Row],[درصد وزنی]]*r_actions[[#This Row],[پیشرفت اجرا (%)]]</f>
        <v>0</v>
      </c>
      <c r="M88" s="56"/>
    </row>
    <row r="89" spans="1:13" x14ac:dyDescent="0.25">
      <c r="A89" s="5" t="s">
        <v>205</v>
      </c>
      <c r="B89" s="3" t="s">
        <v>278</v>
      </c>
      <c r="C89" s="3" t="s">
        <v>258</v>
      </c>
      <c r="D89" s="19">
        <f>E88</f>
        <v>46377</v>
      </c>
      <c r="E89" s="19">
        <f>r_actions[[#This Row],[تاریخ شروع]]+89</f>
        <v>46466</v>
      </c>
      <c r="F89" s="48">
        <v>0</v>
      </c>
      <c r="G89" s="3">
        <v>1</v>
      </c>
      <c r="H89" s="29">
        <f>r_actions[[#This Row],[تاریخ پایان]]-r_actions[[#This Row],[تاریخ شروع]]</f>
        <v>89</v>
      </c>
      <c r="I89" s="14">
        <f>r_actions[[#This Row],[مدت زمان]]/365</f>
        <v>0.24383561643835616</v>
      </c>
      <c r="J89" s="20">
        <f>r_actions[[#This Row],[درصد وزنی]]*r_actions[[#This Row],[پیشرفت اجرا (%)]]</f>
        <v>0</v>
      </c>
      <c r="M89" s="56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workbookViewId="0">
      <selection activeCell="K2" sqref="K2"/>
    </sheetView>
  </sheetViews>
  <sheetFormatPr defaultRowHeight="15" x14ac:dyDescent="0.25"/>
  <cols>
    <col min="1" max="1" width="15" customWidth="1"/>
    <col min="2" max="2" width="45" customWidth="1"/>
    <col min="3" max="3" width="12" customWidth="1"/>
    <col min="4" max="4" width="20" customWidth="1"/>
    <col min="5" max="5" width="15" customWidth="1"/>
    <col min="6" max="7" width="16.42578125" customWidth="1"/>
    <col min="8" max="8" width="15" customWidth="1"/>
    <col min="9" max="10" width="17" customWidth="1"/>
    <col min="11" max="11" width="9.140625" style="4"/>
  </cols>
  <sheetData>
    <row r="1" spans="1:11" x14ac:dyDescent="0.25">
      <c r="A1" s="7" t="s">
        <v>66</v>
      </c>
      <c r="B1" s="8" t="s">
        <v>1</v>
      </c>
      <c r="C1" s="8" t="s">
        <v>162</v>
      </c>
      <c r="D1" s="8" t="s">
        <v>163</v>
      </c>
      <c r="E1" s="8" t="s">
        <v>67</v>
      </c>
      <c r="F1" s="8" t="s">
        <v>68</v>
      </c>
      <c r="G1" s="8" t="s">
        <v>164</v>
      </c>
      <c r="H1" s="8" t="s">
        <v>69</v>
      </c>
      <c r="I1" s="8" t="s">
        <v>70</v>
      </c>
      <c r="J1" s="9" t="s">
        <v>165</v>
      </c>
      <c r="K1" s="15" t="s">
        <v>183</v>
      </c>
    </row>
    <row r="2" spans="1:11" x14ac:dyDescent="0.25">
      <c r="A2" s="5" t="s">
        <v>184</v>
      </c>
      <c r="B2" s="1" t="str">
        <f>INDEX(r_detect[شرح ریسک],MATCH(Table1[[#This Row],[شناسه ریسک]],r_detect[کد ساختار شکست],0))</f>
        <v>ریسک نبود نقش ها و اختیارات شفاف</v>
      </c>
      <c r="C2" s="1" t="s">
        <v>10</v>
      </c>
      <c r="D2" s="1" t="str">
        <f>INDEX(r_detect[طبقه بندی ریسک],MATCH(Table1[[#This Row],[شناسه ریسک]],r_detect[کد ساختار شکست],0))</f>
        <v>حکمرانی</v>
      </c>
      <c r="E2" s="1" t="str">
        <f>INDEX(r_measure[شدت اثر فعلی],MATCH(Table1[[#This Row],[شناسه ریسک]],r_measure[شناسه ریسک],0))</f>
        <v>عمده</v>
      </c>
      <c r="F2" s="1" t="str">
        <f>INDEX(r_measure[احتمال وقوع فعلی],MATCH(Table1[[#This Row],[شناسه ریسک]],r_measure[شناسه ریسک],0))</f>
        <v>ممکن</v>
      </c>
      <c r="G2" s="1" t="str">
        <f>INDEX('Heat Map'!$B$3:$F$7, MATCH(E2,'Heat Map'!$A$3:$A$7, 0), MATCH(F2,'Heat Map'!$B$2:$F$2, 0))</f>
        <v>High</v>
      </c>
      <c r="H2" s="1" t="str">
        <f>INDEX(r_measure[شدت اثر هدف],MATCH(Table1[[#This Row],[شناسه ریسک]],r_measure[شناسه ریسک],0))</f>
        <v>اساسی</v>
      </c>
      <c r="I2" s="3" t="str">
        <f>INDEX(r_measure[احتمال وقوع هدف],MATCH(Table1[[#This Row],[شناسه ریسک]],r_measure[شناسه ریسک],0))</f>
        <v>بعید</v>
      </c>
      <c r="J2" s="6" t="str">
        <f>INDEX('Heat Map'!$B$3:$F$7, MATCH(H2,'Heat Map'!$A$11:$A$15, 0), MATCH(I2,'Heat Map'!$B$10:$F$10, 0))</f>
        <v>Medium</v>
      </c>
      <c r="K2" s="21" cm="1">
        <f t="array" ref="K2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0.21041753424657539</v>
      </c>
    </row>
    <row r="3" spans="1:11" x14ac:dyDescent="0.25">
      <c r="A3" s="5" t="s">
        <v>185</v>
      </c>
      <c r="B3" s="3" t="str">
        <f>INDEX(r_detect[شرح ریسک],MATCH(Table1[[#This Row],[شناسه ریسک]],r_detect[کد ساختار شکست],0))</f>
        <v>ریسک تعارض منافع در تصمیم گیری فناورانه</v>
      </c>
      <c r="C3" s="1" t="s">
        <v>10</v>
      </c>
      <c r="D3" s="3" t="str">
        <f>INDEX(r_detect[طبقه بندی ریسک],MATCH(Table1[[#This Row],[شناسه ریسک]],r_detect[کد ساختار شکست],0))</f>
        <v>حکمرانی</v>
      </c>
      <c r="E3" s="3" t="str">
        <f>INDEX(r_measure[شدت اثر فعلی],MATCH(Table1[[#This Row],[شناسه ریسک]],r_measure[شناسه ریسک],0))</f>
        <v>متوسط</v>
      </c>
      <c r="F3" s="3" t="str">
        <f>INDEX(r_measure[احتمال وقوع فعلی],MATCH(Table1[[#This Row],[شناسه ریسک]],r_measure[شناسه ریسک],0))</f>
        <v>مکرر</v>
      </c>
      <c r="G3" s="1" t="str">
        <f>INDEX('Heat Map'!$B$3:$F$7, MATCH(E3,'Heat Map'!$A$3:$A$7, 0), MATCH(F3,'Heat Map'!$B$2:$F$2, 0))</f>
        <v>High</v>
      </c>
      <c r="H3" s="3" t="str">
        <f>INDEX(r_measure[شدت اثر هدف],MATCH(Table1[[#This Row],[شناسه ریسک]],r_measure[شناسه ریسک],0))</f>
        <v>عمده</v>
      </c>
      <c r="I3" s="3" t="str">
        <f>INDEX(r_measure[احتمال وقوع هدف],MATCH(Table1[[#This Row],[شناسه ریسک]],r_measure[شناسه ریسک],0))</f>
        <v>نادر</v>
      </c>
      <c r="J3" s="6" t="str">
        <f>INDEX('Heat Map'!$B$3:$F$7, MATCH(H3,'Heat Map'!$A$11:$A$15, 0), MATCH(I3,'Heat Map'!$B$10:$F$10, 0))</f>
        <v>Low</v>
      </c>
      <c r="K3" s="14" cm="1">
        <f t="array" ref="K3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0.18759890410958899</v>
      </c>
    </row>
    <row r="4" spans="1:11" x14ac:dyDescent="0.25">
      <c r="A4" s="5" t="s">
        <v>186</v>
      </c>
      <c r="B4" s="3" t="str">
        <f>INDEX(r_detect[شرح ریسک],MATCH(Table1[[#This Row],[شناسه ریسک]],r_detect[کد ساختار شکست],0))</f>
        <v>ریسک نبود سازوکار ارزیابی و اولویت بندی تصمیم ها</v>
      </c>
      <c r="C4" s="1" t="s">
        <v>10</v>
      </c>
      <c r="D4" s="3" t="str">
        <f>INDEX(r_detect[طبقه بندی ریسک],MATCH(Table1[[#This Row],[شناسه ریسک]],r_detect[کد ساختار شکست],0))</f>
        <v>حکمرانی</v>
      </c>
      <c r="E4" s="3" t="str">
        <f>INDEX(r_measure[شدت اثر فعلی],MATCH(Table1[[#This Row],[شناسه ریسک]],r_measure[شناسه ریسک],0))</f>
        <v>جزئی</v>
      </c>
      <c r="F4" s="3" t="str">
        <f>INDEX(r_measure[احتمال وقوع فعلی],MATCH(Table1[[#This Row],[شناسه ریسک]],r_measure[شناسه ریسک],0))</f>
        <v>محتمل</v>
      </c>
      <c r="G4" s="1" t="str">
        <f>INDEX('Heat Map'!$B$3:$F$7, MATCH(E4,'Heat Map'!$A$3:$A$7, 0), MATCH(F4,'Heat Map'!$B$2:$F$2, 0))</f>
        <v>Medium</v>
      </c>
      <c r="H4" s="3" t="str">
        <f>INDEX(r_measure[شدت اثر هدف],MATCH(Table1[[#This Row],[شناسه ریسک]],r_measure[شناسه ریسک],0))</f>
        <v>متوسط</v>
      </c>
      <c r="I4" s="3" t="str">
        <f>INDEX(r_measure[احتمال وقوع هدف],MATCH(Table1[[#This Row],[شناسه ریسک]],r_measure[شناسه ریسک],0))</f>
        <v>ممکن</v>
      </c>
      <c r="J4" s="6" t="str">
        <f>INDEX('Heat Map'!$B$3:$F$7, MATCH(H4,'Heat Map'!$A$11:$A$15, 0), MATCH(I4,'Heat Map'!$B$10:$F$10, 0))</f>
        <v>Medium</v>
      </c>
      <c r="K4" s="14" cm="1">
        <f t="array" ref="K4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0.62714493150684913</v>
      </c>
    </row>
    <row r="5" spans="1:11" x14ac:dyDescent="0.25">
      <c r="A5" s="5" t="s">
        <v>187</v>
      </c>
      <c r="B5" s="3" t="str">
        <f>INDEX(r_detect[شرح ریسک],MATCH(Table1[[#This Row],[شناسه ریسک]],r_detect[کد ساختار شکست],0))</f>
        <v>ریسک دارایی های فناورانه فاقد متولی</v>
      </c>
      <c r="C5" s="1" t="s">
        <v>10</v>
      </c>
      <c r="D5" s="3" t="str">
        <f>INDEX(r_detect[طبقه بندی ریسک],MATCH(Table1[[#This Row],[شناسه ریسک]],r_detect[کد ساختار شکست],0))</f>
        <v>دارایی های داخلی</v>
      </c>
      <c r="E5" s="3" t="str">
        <f>INDEX(r_measure[شدت اثر فعلی],MATCH(Table1[[#This Row],[شناسه ریسک]],r_measure[شناسه ریسک],0))</f>
        <v>متوسط</v>
      </c>
      <c r="F5" s="3" t="str">
        <f>INDEX(r_measure[احتمال وقوع فعلی],MATCH(Table1[[#This Row],[شناسه ریسک]],r_measure[شناسه ریسک],0))</f>
        <v>بعید</v>
      </c>
      <c r="G5" s="1" t="str">
        <f>INDEX('Heat Map'!$B$3:$F$7, MATCH(E5,'Heat Map'!$A$3:$A$7, 0), MATCH(F5,'Heat Map'!$B$2:$F$2, 0))</f>
        <v>Medium</v>
      </c>
      <c r="H5" s="3" t="str">
        <f>INDEX(r_measure[شدت اثر هدف],MATCH(Table1[[#This Row],[شناسه ریسک]],r_measure[شناسه ریسک],0))</f>
        <v>جزئی</v>
      </c>
      <c r="I5" s="3" t="str">
        <f>INDEX(r_measure[احتمال وقوع هدف],MATCH(Table1[[#This Row],[شناسه ریسک]],r_measure[شناسه ریسک],0))</f>
        <v>محتمل</v>
      </c>
      <c r="J5" s="6" t="str">
        <f>INDEX('Heat Map'!$B$3:$F$7, MATCH(H5,'Heat Map'!$A$11:$A$15, 0), MATCH(I5,'Heat Map'!$B$10:$F$10, 0))</f>
        <v>Medium</v>
      </c>
      <c r="K5" s="14" cm="1">
        <f t="array" ref="K5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0.17812301369863015</v>
      </c>
    </row>
    <row r="6" spans="1:11" x14ac:dyDescent="0.25">
      <c r="A6" s="5" t="s">
        <v>188</v>
      </c>
      <c r="B6" s="3" t="str">
        <f>INDEX(r_detect[شرح ریسک],MATCH(Table1[[#This Row],[شناسه ریسک]],r_detect[کد ساختار شکست],0))</f>
        <v>ریسک از بین رفتن دانش، مستندات و نمونه ها</v>
      </c>
      <c r="C6" s="1" t="s">
        <v>10</v>
      </c>
      <c r="D6" s="3" t="str">
        <f>INDEX(r_detect[طبقه بندی ریسک],MATCH(Table1[[#This Row],[شناسه ریسک]],r_detect[کد ساختار شکست],0))</f>
        <v>دارایی های داخلی</v>
      </c>
      <c r="E6" s="3" t="str">
        <f>INDEX(r_measure[شدت اثر فعلی],MATCH(Table1[[#This Row],[شناسه ریسک]],r_measure[شناسه ریسک],0))</f>
        <v>ناچیز</v>
      </c>
      <c r="F6" s="3" t="str">
        <f>INDEX(r_measure[احتمال وقوع فعلی],MATCH(Table1[[#This Row],[شناسه ریسک]],r_measure[شناسه ریسک],0))</f>
        <v>بعید</v>
      </c>
      <c r="G6" s="1" t="str">
        <f>INDEX('Heat Map'!$B$3:$F$7, MATCH(E6,'Heat Map'!$A$3:$A$7, 0), MATCH(F6,'Heat Map'!$B$2:$F$2, 0))</f>
        <v>Low</v>
      </c>
      <c r="H6" s="3" t="str">
        <f>INDEX(r_measure[شدت اثر هدف],MATCH(Table1[[#This Row],[شناسه ریسک]],r_measure[شناسه ریسک],0))</f>
        <v>ناچیز</v>
      </c>
      <c r="I6" s="3" t="str">
        <f>INDEX(r_measure[احتمال وقوع هدف],MATCH(Table1[[#This Row],[شناسه ریسک]],r_measure[شناسه ریسک],0))</f>
        <v>مکرر</v>
      </c>
      <c r="J6" s="6" t="str">
        <f>INDEX('Heat Map'!$B$3:$F$7, MATCH(H6,'Heat Map'!$A$11:$A$15, 0), MATCH(I6,'Heat Map'!$B$10:$F$10, 0))</f>
        <v>Medium</v>
      </c>
      <c r="K6" s="14" cm="1">
        <f t="array" ref="K6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0.29330246575342461</v>
      </c>
    </row>
    <row r="7" spans="1:11" x14ac:dyDescent="0.25">
      <c r="A7" s="5" t="s">
        <v>189</v>
      </c>
      <c r="B7" s="3" t="str">
        <f>INDEX(r_detect[شرح ریسک],MATCH(Table1[[#This Row],[شناسه ریسک]],r_detect[کد ساختار شکست],0))</f>
        <v>ریسک طبقه بندی نادرست دارایی ها (ارزش، بلوغ، فوریت)</v>
      </c>
      <c r="C7" s="1" t="s">
        <v>10</v>
      </c>
      <c r="D7" s="3" t="str">
        <f>INDEX(r_detect[طبقه بندی ریسک],MATCH(Table1[[#This Row],[شناسه ریسک]],r_detect[کد ساختار شکست],0))</f>
        <v>دارایی های داخلی</v>
      </c>
      <c r="E7" s="3" t="str">
        <f>INDEX(r_measure[شدت اثر فعلی],MATCH(Table1[[#This Row],[شناسه ریسک]],r_measure[شناسه ریسک],0))</f>
        <v>جزئی</v>
      </c>
      <c r="F7" s="3" t="str">
        <f>INDEX(r_measure[احتمال وقوع فعلی],MATCH(Table1[[#This Row],[شناسه ریسک]],r_measure[شناسه ریسک],0))</f>
        <v>بعید</v>
      </c>
      <c r="G7" s="1" t="str">
        <f>INDEX('Heat Map'!$B$3:$F$7, MATCH(E7,'Heat Map'!$A$3:$A$7, 0), MATCH(F7,'Heat Map'!$B$2:$F$2, 0))</f>
        <v>Medium</v>
      </c>
      <c r="H7" s="3" t="str">
        <f>INDEX(r_measure[شدت اثر هدف],MATCH(Table1[[#This Row],[شناسه ریسک]],r_measure[شناسه ریسک],0))</f>
        <v>اساسی</v>
      </c>
      <c r="I7" s="3" t="str">
        <f>INDEX(r_measure[احتمال وقوع هدف],MATCH(Table1[[#This Row],[شناسه ریسک]],r_measure[شناسه ریسک],0))</f>
        <v>بعید</v>
      </c>
      <c r="J7" s="6" t="str">
        <f>INDEX('Heat Map'!$B$3:$F$7, MATCH(H7,'Heat Map'!$A$11:$A$15, 0), MATCH(I7,'Heat Map'!$B$10:$F$10, 0))</f>
        <v>Medium</v>
      </c>
      <c r="K7" s="14" cm="1">
        <f t="array" ref="K7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0.14463287671232877</v>
      </c>
    </row>
    <row r="8" spans="1:11" x14ac:dyDescent="0.25">
      <c r="A8" s="5" t="s">
        <v>190</v>
      </c>
      <c r="B8" s="3" t="str">
        <f>INDEX(r_detect[شرح ریسک],MATCH(Table1[[#This Row],[شناسه ریسک]],r_detect[کد ساختار شکست],0))</f>
        <v>ریسک تمایلی نداشتن به رها کردن مالکیت دارایی توسط واحدهای سازمانی</v>
      </c>
      <c r="C8" s="1" t="s">
        <v>10</v>
      </c>
      <c r="D8" s="3" t="str">
        <f>INDEX(r_detect[طبقه بندی ریسک],MATCH(Table1[[#This Row],[شناسه ریسک]],r_detect[کد ساختار شکست],0))</f>
        <v>دارایی های داخلی</v>
      </c>
      <c r="E8" s="3" t="str">
        <f>INDEX(r_measure[شدت اثر فعلی],MATCH(Table1[[#This Row],[شناسه ریسک]],r_measure[شناسه ریسک],0))</f>
        <v>عمده</v>
      </c>
      <c r="F8" s="3" t="str">
        <f>INDEX(r_measure[احتمال وقوع فعلی],MATCH(Table1[[#This Row],[شناسه ریسک]],r_measure[شناسه ریسک],0))</f>
        <v>نادر</v>
      </c>
      <c r="G8" s="1" t="str">
        <f>INDEX('Heat Map'!$B$3:$F$7, MATCH(E8,'Heat Map'!$A$3:$A$7, 0), MATCH(F8,'Heat Map'!$B$2:$F$2, 0))</f>
        <v>Low</v>
      </c>
      <c r="H8" s="3" t="str">
        <f>INDEX(r_measure[شدت اثر هدف],MATCH(Table1[[#This Row],[شناسه ریسک]],r_measure[شناسه ریسک],0))</f>
        <v>عمده</v>
      </c>
      <c r="I8" s="3" t="str">
        <f>INDEX(r_measure[احتمال وقوع هدف],MATCH(Table1[[#This Row],[شناسه ریسک]],r_measure[شناسه ریسک],0))</f>
        <v>نادر</v>
      </c>
      <c r="J8" s="6" t="str">
        <f>INDEX('Heat Map'!$B$3:$F$7, MATCH(H8,'Heat Map'!$A$11:$A$15, 0), MATCH(I8,'Heat Map'!$B$10:$F$10, 0))</f>
        <v>Low</v>
      </c>
      <c r="K8" s="14" cm="1">
        <f t="array" ref="K8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0.1579358904109589</v>
      </c>
    </row>
    <row r="9" spans="1:11" x14ac:dyDescent="0.25">
      <c r="A9" s="5" t="s">
        <v>191</v>
      </c>
      <c r="B9" s="3" t="str">
        <f>INDEX(r_detect[شرح ریسک],MATCH(Table1[[#This Row],[شناسه ریسک]],r_detect[کد ساختار شکست],0))</f>
        <v>ریسک بسیار تخصصی دارایی های توسعه یافته و بواسطه آن بازار خارجی محدود</v>
      </c>
      <c r="C9" s="1" t="s">
        <v>10</v>
      </c>
      <c r="D9" s="3" t="str">
        <f>INDEX(r_detect[طبقه بندی ریسک],MATCH(Table1[[#This Row],[شناسه ریسک]],r_detect[کد ساختار شکست],0))</f>
        <v>دارایی های داخلی</v>
      </c>
      <c r="E9" s="3" t="str">
        <f>INDEX(r_measure[شدت اثر فعلی],MATCH(Table1[[#This Row],[شناسه ریسک]],r_measure[شناسه ریسک],0))</f>
        <v>ناچیز</v>
      </c>
      <c r="F9" s="3" t="str">
        <f>INDEX(r_measure[احتمال وقوع فعلی],MATCH(Table1[[#This Row],[شناسه ریسک]],r_measure[شناسه ریسک],0))</f>
        <v>ممکن</v>
      </c>
      <c r="G9" s="1" t="str">
        <f>INDEX('Heat Map'!$B$3:$F$7, MATCH(E9,'Heat Map'!$A$3:$A$7, 0), MATCH(F9,'Heat Map'!$B$2:$F$2, 0))</f>
        <v>Low</v>
      </c>
      <c r="H9" s="3" t="str">
        <f>INDEX(r_measure[شدت اثر هدف],MATCH(Table1[[#This Row],[شناسه ریسک]],r_measure[شناسه ریسک],0))</f>
        <v>متوسط</v>
      </c>
      <c r="I9" s="3" t="str">
        <f>INDEX(r_measure[احتمال وقوع هدف],MATCH(Table1[[#This Row],[شناسه ریسک]],r_measure[شناسه ریسک],0))</f>
        <v>ممکن</v>
      </c>
      <c r="J9" s="6" t="str">
        <f>INDEX('Heat Map'!$B$3:$F$7, MATCH(H9,'Heat Map'!$A$11:$A$15, 0), MATCH(I9,'Heat Map'!$B$10:$F$10, 0))</f>
        <v>Medium</v>
      </c>
      <c r="K9" s="14" cm="1">
        <f t="array" ref="K9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0.405001095890411</v>
      </c>
    </row>
    <row r="10" spans="1:11" x14ac:dyDescent="0.25">
      <c r="A10" s="5" t="s">
        <v>192</v>
      </c>
      <c r="B10" s="3" t="str">
        <f>INDEX(r_detect[شرح ریسک],MATCH(Table1[[#This Row],[شناسه ریسک]],r_detect[کد ساختار شکست],0))</f>
        <v>ریسک قدیمی بودن دارایی ها و نیازمند به روزرسانی های پرهزینه جهت استانداردسازی</v>
      </c>
      <c r="C10" s="1" t="s">
        <v>10</v>
      </c>
      <c r="D10" s="3" t="str">
        <f>INDEX(r_detect[طبقه بندی ریسک],MATCH(Table1[[#This Row],[شناسه ریسک]],r_detect[کد ساختار شکست],0))</f>
        <v>دارایی های داخلی</v>
      </c>
      <c r="E10" s="3" t="str">
        <f>INDEX(r_measure[شدت اثر فعلی],MATCH(Table1[[#This Row],[شناسه ریسک]],r_measure[شناسه ریسک],0))</f>
        <v>اساسی</v>
      </c>
      <c r="F10" s="3" t="str">
        <f>INDEX(r_measure[احتمال وقوع فعلی],MATCH(Table1[[#This Row],[شناسه ریسک]],r_measure[شناسه ریسک],0))</f>
        <v>محتمل</v>
      </c>
      <c r="G10" s="1" t="str">
        <f>INDEX('Heat Map'!$B$3:$F$7, MATCH(E10,'Heat Map'!$A$3:$A$7, 0), MATCH(F10,'Heat Map'!$B$2:$F$2, 0))</f>
        <v>Critical</v>
      </c>
      <c r="H10" s="3" t="str">
        <f>INDEX(r_measure[شدت اثر هدف],MATCH(Table1[[#This Row],[شناسه ریسک]],r_measure[شناسه ریسک],0))</f>
        <v>جزئی</v>
      </c>
      <c r="I10" s="3" t="str">
        <f>INDEX(r_measure[احتمال وقوع هدف],MATCH(Table1[[#This Row],[شناسه ریسک]],r_measure[شناسه ریسک],0))</f>
        <v>محتمل</v>
      </c>
      <c r="J10" s="6" t="str">
        <f>INDEX('Heat Map'!$B$3:$F$7, MATCH(H10,'Heat Map'!$A$11:$A$15, 0), MATCH(I10,'Heat Map'!$B$10:$F$10, 0))</f>
        <v>Medium</v>
      </c>
      <c r="K10" s="14" cm="1">
        <f t="array" ref="K10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0.1732027397260274</v>
      </c>
    </row>
    <row r="11" spans="1:11" x14ac:dyDescent="0.25">
      <c r="A11" s="5" t="s">
        <v>193</v>
      </c>
      <c r="B11" s="3" t="str">
        <f>INDEX(r_detect[شرح ریسک],MATCH(Table1[[#This Row],[شناسه ریسک]],r_detect[کد ساختار شکست],0))</f>
        <v>ریسک اعتبار فناورانه و مالی شریک</v>
      </c>
      <c r="C11" s="1" t="s">
        <v>10</v>
      </c>
      <c r="D11" s="3" t="str">
        <f>INDEX(r_detect[طبقه بندی ریسک],MATCH(Table1[[#This Row],[شناسه ریسک]],r_detect[کد ساختار شکست],0))</f>
        <v>همکاری های بیرونی</v>
      </c>
      <c r="E11" s="3" t="str">
        <f>INDEX(r_measure[شدت اثر فعلی],MATCH(Table1[[#This Row],[شناسه ریسک]],r_measure[شناسه ریسک],0))</f>
        <v>اساسی</v>
      </c>
      <c r="F11" s="3" t="str">
        <f>INDEX(r_measure[احتمال وقوع فعلی],MATCH(Table1[[#This Row],[شناسه ریسک]],r_measure[شناسه ریسک],0))</f>
        <v>مکرر</v>
      </c>
      <c r="G11" s="1" t="str">
        <f>INDEX('Heat Map'!$B$3:$F$7, MATCH(E11,'Heat Map'!$A$3:$A$7, 0), MATCH(F11,'Heat Map'!$B$2:$F$2, 0))</f>
        <v>Critical</v>
      </c>
      <c r="H11" s="3" t="str">
        <f>INDEX(r_measure[شدت اثر هدف],MATCH(Table1[[#This Row],[شناسه ریسک]],r_measure[شناسه ریسک],0))</f>
        <v>ناچیز</v>
      </c>
      <c r="I11" s="3" t="str">
        <f>INDEX(r_measure[احتمال وقوع هدف],MATCH(Table1[[#This Row],[شناسه ریسک]],r_measure[شناسه ریسک],0))</f>
        <v>مکرر</v>
      </c>
      <c r="J11" s="6" t="str">
        <f>INDEX('Heat Map'!$B$3:$F$7, MATCH(H11,'Heat Map'!$A$11:$A$15, 0), MATCH(I11,'Heat Map'!$B$10:$F$10, 0))</f>
        <v>Medium</v>
      </c>
      <c r="K11" s="14" cm="1">
        <f t="array" ref="K11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0.1579358904109589</v>
      </c>
    </row>
    <row r="12" spans="1:11" x14ac:dyDescent="0.25">
      <c r="A12" s="5" t="s">
        <v>194</v>
      </c>
      <c r="B12" s="3" t="str">
        <f>INDEX(r_detect[شرح ریسک],MATCH(Table1[[#This Row],[شناسه ریسک]],r_detect[کد ساختار شکست],0))</f>
        <v>ریسک های حقوقی، قراردادی و مالکیتی در مشارکت</v>
      </c>
      <c r="C12" s="1" t="s">
        <v>10</v>
      </c>
      <c r="D12" s="3" t="str">
        <f>INDEX(r_detect[طبقه بندی ریسک],MATCH(Table1[[#This Row],[شناسه ریسک]],r_detect[کد ساختار شکست],0))</f>
        <v>همکاری های بیرونی</v>
      </c>
      <c r="E12" s="3" t="str">
        <f>INDEX(r_measure[شدت اثر فعلی],MATCH(Table1[[#This Row],[شناسه ریسک]],r_measure[شناسه ریسک],0))</f>
        <v>عمده</v>
      </c>
      <c r="F12" s="3" t="str">
        <f>INDEX(r_measure[احتمال وقوع فعلی],MATCH(Table1[[#This Row],[شناسه ریسک]],r_measure[شناسه ریسک],0))</f>
        <v>مکرر</v>
      </c>
      <c r="G12" s="1" t="str">
        <f>INDEX('Heat Map'!$B$3:$F$7, MATCH(E12,'Heat Map'!$A$3:$A$7, 0), MATCH(F12,'Heat Map'!$B$2:$F$2, 0))</f>
        <v>Critical</v>
      </c>
      <c r="H12" s="3" t="str">
        <f>INDEX(r_measure[شدت اثر هدف],MATCH(Table1[[#This Row],[شناسه ریسک]],r_measure[شناسه ریسک],0))</f>
        <v>اساسی</v>
      </c>
      <c r="I12" s="3" t="str">
        <f>INDEX(r_measure[احتمال وقوع هدف],MATCH(Table1[[#This Row],[شناسه ریسک]],r_measure[شناسه ریسک],0))</f>
        <v>بعید</v>
      </c>
      <c r="J12" s="6" t="str">
        <f>INDEX('Heat Map'!$B$3:$F$7, MATCH(H12,'Heat Map'!$A$11:$A$15, 0), MATCH(I12,'Heat Map'!$B$10:$F$10, 0))</f>
        <v>Medium</v>
      </c>
      <c r="K12" s="14" cm="1">
        <f t="array" ref="K12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0.405001095890411</v>
      </c>
    </row>
    <row r="13" spans="1:11" x14ac:dyDescent="0.25">
      <c r="A13" s="5" t="s">
        <v>195</v>
      </c>
      <c r="B13" s="3" t="str">
        <f>INDEX(r_detect[شرح ریسک],MATCH(Table1[[#This Row],[شناسه ریسک]],r_detect[کد ساختار شکست],0))</f>
        <v>ریسک عدم هم راستایی اهداف شریک با منافع خوارزمی</v>
      </c>
      <c r="C13" s="1" t="s">
        <v>10</v>
      </c>
      <c r="D13" s="3" t="str">
        <f>INDEX(r_detect[طبقه بندی ریسک],MATCH(Table1[[#This Row],[شناسه ریسک]],r_detect[کد ساختار شکست],0))</f>
        <v>همکاری های بیرونی</v>
      </c>
      <c r="E13" s="3" t="str">
        <f>INDEX(r_measure[شدت اثر فعلی],MATCH(Table1[[#This Row],[شناسه ریسک]],r_measure[شناسه ریسک],0))</f>
        <v>متوسط</v>
      </c>
      <c r="F13" s="3" t="str">
        <f>INDEX(r_measure[احتمال وقوع فعلی],MATCH(Table1[[#This Row],[شناسه ریسک]],r_measure[شناسه ریسک],0))</f>
        <v>مکرر</v>
      </c>
      <c r="G13" s="1" t="str">
        <f>INDEX('Heat Map'!$B$3:$F$7, MATCH(E13,'Heat Map'!$A$3:$A$7, 0), MATCH(F13,'Heat Map'!$B$2:$F$2, 0))</f>
        <v>High</v>
      </c>
      <c r="H13" s="3" t="str">
        <f>INDEX(r_measure[شدت اثر هدف],MATCH(Table1[[#This Row],[شناسه ریسک]],r_measure[شناسه ریسک],0))</f>
        <v>عمده</v>
      </c>
      <c r="I13" s="3" t="str">
        <f>INDEX(r_measure[احتمال وقوع هدف],MATCH(Table1[[#This Row],[شناسه ریسک]],r_measure[شناسه ریسک],0))</f>
        <v>نادر</v>
      </c>
      <c r="J13" s="6" t="str">
        <f>INDEX('Heat Map'!$B$3:$F$7, MATCH(H13,'Heat Map'!$A$11:$A$15, 0), MATCH(I13,'Heat Map'!$B$10:$F$10, 0))</f>
        <v>Low</v>
      </c>
      <c r="K13" s="14" cm="1">
        <f t="array" ref="K13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0.77460000000000007</v>
      </c>
    </row>
    <row r="14" spans="1:11" x14ac:dyDescent="0.25">
      <c r="A14" s="5" t="s">
        <v>196</v>
      </c>
      <c r="B14" s="3" t="str">
        <f>INDEX(r_detect[شرح ریسک],MATCH(Table1[[#This Row],[شناسه ریسک]],r_detect[کد ساختار شکست],0))</f>
        <v>ریسک پراکندگی دانش و فقدان نظام یکپارچه</v>
      </c>
      <c r="C14" s="1" t="s">
        <v>10</v>
      </c>
      <c r="D14" s="3" t="str">
        <f>INDEX(r_detect[طبقه بندی ریسک],MATCH(Table1[[#This Row],[شناسه ریسک]],r_detect[کد ساختار شکست],0))</f>
        <v>مرجعیت فکری</v>
      </c>
      <c r="E14" s="3" t="str">
        <f>INDEX(r_measure[شدت اثر فعلی],MATCH(Table1[[#This Row],[شناسه ریسک]],r_measure[شناسه ریسک],0))</f>
        <v>ناچیز</v>
      </c>
      <c r="F14" s="3" t="str">
        <f>INDEX(r_measure[احتمال وقوع فعلی],MATCH(Table1[[#This Row],[شناسه ریسک]],r_measure[شناسه ریسک],0))</f>
        <v>ممکن</v>
      </c>
      <c r="G14" s="1" t="str">
        <f>INDEX('Heat Map'!$B$3:$F$7, MATCH(E14,'Heat Map'!$A$3:$A$7, 0), MATCH(F14,'Heat Map'!$B$2:$F$2, 0))</f>
        <v>Low</v>
      </c>
      <c r="H14" s="3" t="str">
        <f>INDEX(r_measure[شدت اثر هدف],MATCH(Table1[[#This Row],[شناسه ریسک]],r_measure[شناسه ریسک],0))</f>
        <v>متوسط</v>
      </c>
      <c r="I14" s="3" t="str">
        <f>INDEX(r_measure[احتمال وقوع هدف],MATCH(Table1[[#This Row],[شناسه ریسک]],r_measure[شناسه ریسک],0))</f>
        <v>ممکن</v>
      </c>
      <c r="J14" s="6" t="str">
        <f>INDEX('Heat Map'!$B$3:$F$7, MATCH(H14,'Heat Map'!$A$11:$A$15, 0), MATCH(I14,'Heat Map'!$B$10:$F$10, 0))</f>
        <v>Medium</v>
      </c>
      <c r="K14" s="14" cm="1">
        <f t="array" ref="K14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0.16538219178082192</v>
      </c>
    </row>
    <row r="15" spans="1:11" x14ac:dyDescent="0.25">
      <c r="A15" s="5" t="s">
        <v>197</v>
      </c>
      <c r="B15" s="3" t="str">
        <f>INDEX(r_detect[شرح ریسک],MATCH(Table1[[#This Row],[شناسه ریسک]],r_detect[کد ساختار شکست],0))</f>
        <v>ریسک وابستگی به افراد کلیدی</v>
      </c>
      <c r="C15" s="1" t="s">
        <v>10</v>
      </c>
      <c r="D15" s="3" t="str">
        <f>INDEX(r_detect[طبقه بندی ریسک],MATCH(Table1[[#This Row],[شناسه ریسک]],r_detect[کد ساختار شکست],0))</f>
        <v>مرجعیت فکری</v>
      </c>
      <c r="E15" s="3" t="str">
        <f>INDEX(r_measure[شدت اثر فعلی],MATCH(Table1[[#This Row],[شناسه ریسک]],r_measure[شناسه ریسک],0))</f>
        <v>جزئی</v>
      </c>
      <c r="F15" s="3" t="str">
        <f>INDEX(r_measure[احتمال وقوع فعلی],MATCH(Table1[[#This Row],[شناسه ریسک]],r_measure[شناسه ریسک],0))</f>
        <v>ممکن</v>
      </c>
      <c r="G15" s="1" t="str">
        <f>INDEX('Heat Map'!$B$3:$F$7, MATCH(E15,'Heat Map'!$A$3:$A$7, 0), MATCH(F15,'Heat Map'!$B$2:$F$2, 0))</f>
        <v>Medium</v>
      </c>
      <c r="H15" s="3" t="str">
        <f>INDEX(r_measure[شدت اثر هدف],MATCH(Table1[[#This Row],[شناسه ریسک]],r_measure[شناسه ریسک],0))</f>
        <v>جزئی</v>
      </c>
      <c r="I15" s="3" t="str">
        <f>INDEX(r_measure[احتمال وقوع هدف],MATCH(Table1[[#This Row],[شناسه ریسک]],r_measure[شناسه ریسک],0))</f>
        <v>محتمل</v>
      </c>
      <c r="J15" s="6" t="str">
        <f>INDEX('Heat Map'!$B$3:$F$7, MATCH(H15,'Heat Map'!$A$11:$A$15, 0), MATCH(I15,'Heat Map'!$B$10:$F$10, 0))</f>
        <v>Medium</v>
      </c>
      <c r="K15" s="14" cm="1">
        <f t="array" ref="K15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0.53476273972602739</v>
      </c>
    </row>
    <row r="16" spans="1:11" x14ac:dyDescent="0.25">
      <c r="A16" s="5" t="s">
        <v>198</v>
      </c>
      <c r="B16" s="3" t="str">
        <f>INDEX(r_detect[شرح ریسک],MATCH(Table1[[#This Row],[شناسه ریسک]],r_detect[کد ساختار شکست],0))</f>
        <v>ریسک تولید دانش غیرمعتبر یا غیرکاربردی</v>
      </c>
      <c r="C16" s="1" t="s">
        <v>10</v>
      </c>
      <c r="D16" s="3" t="str">
        <f>INDEX(r_detect[طبقه بندی ریسک],MATCH(Table1[[#This Row],[شناسه ریسک]],r_detect[کد ساختار شکست],0))</f>
        <v>مرجعیت فکری</v>
      </c>
      <c r="E16" s="3" t="str">
        <f>INDEX(r_measure[شدت اثر فعلی],MATCH(Table1[[#This Row],[شناسه ریسک]],r_measure[شناسه ریسک],0))</f>
        <v>عمده</v>
      </c>
      <c r="F16" s="3" t="str">
        <f>INDEX(r_measure[احتمال وقوع فعلی],MATCH(Table1[[#This Row],[شناسه ریسک]],r_measure[شناسه ریسک],0))</f>
        <v>مکرر</v>
      </c>
      <c r="G16" s="1" t="str">
        <f>INDEX('Heat Map'!$B$3:$F$7, MATCH(E16,'Heat Map'!$A$3:$A$7, 0), MATCH(F16,'Heat Map'!$B$2:$F$2, 0))</f>
        <v>Critical</v>
      </c>
      <c r="H16" s="3" t="str">
        <f>INDEX(r_measure[شدت اثر هدف],MATCH(Table1[[#This Row],[شناسه ریسک]],r_measure[شناسه ریسک],0))</f>
        <v>ناچیز</v>
      </c>
      <c r="I16" s="3" t="str">
        <f>INDEX(r_measure[احتمال وقوع هدف],MATCH(Table1[[#This Row],[شناسه ریسک]],r_measure[شناسه ریسک],0))</f>
        <v>مکرر</v>
      </c>
      <c r="J16" s="6" t="str">
        <f>INDEX('Heat Map'!$B$3:$F$7, MATCH(H16,'Heat Map'!$A$11:$A$15, 0), MATCH(I16,'Heat Map'!$B$10:$F$10, 0))</f>
        <v>Medium</v>
      </c>
      <c r="K16" s="14" cm="1">
        <f t="array" ref="K16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0.79116986301369874</v>
      </c>
    </row>
    <row r="17" spans="1:11" x14ac:dyDescent="0.25">
      <c r="A17" s="5" t="s">
        <v>199</v>
      </c>
      <c r="B17" s="3" t="str">
        <f>INDEX(r_detect[شرح ریسک],MATCH(Table1[[#This Row],[شناسه ریسک]],r_detect[کد ساختار شکست],0))</f>
        <v>ریسک های نقدینگی و ناپایداری درآمد</v>
      </c>
      <c r="C17" s="1" t="s">
        <v>10</v>
      </c>
      <c r="D17" s="3" t="str">
        <f>INDEX(r_detect[طبقه بندی ریسک],MATCH(Table1[[#This Row],[شناسه ریسک]],r_detect[کد ساختار شکست],0))</f>
        <v>پایداری و خدمات</v>
      </c>
      <c r="E17" s="3" t="str">
        <f>INDEX(r_measure[شدت اثر فعلی],MATCH(Table1[[#This Row],[شناسه ریسک]],r_measure[شناسه ریسک],0))</f>
        <v>متوسط</v>
      </c>
      <c r="F17" s="3" t="str">
        <f>INDEX(r_measure[احتمال وقوع فعلی],MATCH(Table1[[#This Row],[شناسه ریسک]],r_measure[شناسه ریسک],0))</f>
        <v>ممکن</v>
      </c>
      <c r="G17" s="1" t="str">
        <f>INDEX('Heat Map'!$B$3:$F$7, MATCH(E17,'Heat Map'!$A$3:$A$7, 0), MATCH(F17,'Heat Map'!$B$2:$F$2, 0))</f>
        <v>Medium</v>
      </c>
      <c r="H17" s="3" t="str">
        <f>INDEX(r_measure[شدت اثر هدف],MATCH(Table1[[#This Row],[شناسه ریسک]],r_measure[شناسه ریسک],0))</f>
        <v>اساسی</v>
      </c>
      <c r="I17" s="3" t="str">
        <f>INDEX(r_measure[احتمال وقوع هدف],MATCH(Table1[[#This Row],[شناسه ریسک]],r_measure[شناسه ریسک],0))</f>
        <v>بعید</v>
      </c>
      <c r="J17" s="6" t="str">
        <f>INDEX('Heat Map'!$B$3:$F$7, MATCH(H17,'Heat Map'!$A$11:$A$15, 0), MATCH(I17,'Heat Map'!$B$10:$F$10, 0))</f>
        <v>Medium</v>
      </c>
      <c r="K17" s="14" cm="1">
        <f t="array" ref="K17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0.16538219178082192</v>
      </c>
    </row>
    <row r="18" spans="1:11" x14ac:dyDescent="0.25">
      <c r="A18" s="5" t="s">
        <v>200</v>
      </c>
      <c r="B18" s="3" t="str">
        <f>INDEX(r_detect[شرح ریسک],MATCH(Table1[[#This Row],[شناسه ریسک]],r_detect[کد ساختار شکست],0))</f>
        <v>ریسک های آسیب به برند مرجع</v>
      </c>
      <c r="C18" s="1" t="s">
        <v>10</v>
      </c>
      <c r="D18" s="3" t="str">
        <f>INDEX(r_detect[طبقه بندی ریسک],MATCH(Table1[[#This Row],[شناسه ریسک]],r_detect[کد ساختار شکست],0))</f>
        <v>پایداری و خدمات</v>
      </c>
      <c r="E18" s="3" t="str">
        <f>INDEX(r_measure[شدت اثر فعلی],MATCH(Table1[[#This Row],[شناسه ریسک]],r_measure[شناسه ریسک],0))</f>
        <v>اساسی</v>
      </c>
      <c r="F18" s="3" t="str">
        <f>INDEX(r_measure[احتمال وقوع فعلی],MATCH(Table1[[#This Row],[شناسه ریسک]],r_measure[شناسه ریسک],0))</f>
        <v>محتمل</v>
      </c>
      <c r="G18" s="1" t="str">
        <f>INDEX('Heat Map'!$B$3:$F$7, MATCH(E18,'Heat Map'!$A$3:$A$7, 0), MATCH(F18,'Heat Map'!$B$2:$F$2, 0))</f>
        <v>Critical</v>
      </c>
      <c r="H18" s="3" t="str">
        <f>INDEX(r_measure[شدت اثر هدف],MATCH(Table1[[#This Row],[شناسه ریسک]],r_measure[شناسه ریسک],0))</f>
        <v>عمده</v>
      </c>
      <c r="I18" s="3" t="str">
        <f>INDEX(r_measure[احتمال وقوع هدف],MATCH(Table1[[#This Row],[شناسه ریسک]],r_measure[شناسه ریسک],0))</f>
        <v>نادر</v>
      </c>
      <c r="J18" s="6" t="str">
        <f>INDEX('Heat Map'!$B$3:$F$7, MATCH(H18,'Heat Map'!$A$11:$A$15, 0), MATCH(I18,'Heat Map'!$B$10:$F$10, 0))</f>
        <v>Low</v>
      </c>
      <c r="K18" s="14" cm="1">
        <f t="array" ref="K18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0.53476273972602739</v>
      </c>
    </row>
    <row r="19" spans="1:11" x14ac:dyDescent="0.25">
      <c r="A19" s="5" t="s">
        <v>201</v>
      </c>
      <c r="B19" s="3" t="str">
        <f>INDEX(r_detect[شرح ریسک],MATCH(Table1[[#This Row],[شناسه ریسک]],r_detect[کد ساختار شکست],0))</f>
        <v>ریسک افت کیفیت خدمات پشتیبانی دارایی محور</v>
      </c>
      <c r="C19" s="11" t="s">
        <v>10</v>
      </c>
      <c r="D19" s="3" t="str">
        <f>INDEX(r_detect[طبقه بندی ریسک],MATCH(Table1[[#This Row],[شناسه ریسک]],r_detect[کد ساختار شکست],0))</f>
        <v>پایداری و خدمات</v>
      </c>
      <c r="E19" s="3" t="str">
        <f>INDEX(r_measure[شدت اثر فعلی],MATCH(Table1[[#This Row],[شناسه ریسک]],r_measure[شناسه ریسک],0))</f>
        <v>اساسی</v>
      </c>
      <c r="F19" s="3" t="str">
        <f>INDEX(r_measure[احتمال وقوع فعلی],MATCH(Table1[[#This Row],[شناسه ریسک]],r_measure[شناسه ریسک],0))</f>
        <v>نادر</v>
      </c>
      <c r="G19" s="11" t="str">
        <f>INDEX('Heat Map'!$B$3:$F$7, MATCH(E19,'Heat Map'!$A$3:$A$7, 0), MATCH(F19,'Heat Map'!$B$2:$F$2, 0))</f>
        <v>Medium</v>
      </c>
      <c r="H19" s="3" t="str">
        <f>INDEX(r_measure[شدت اثر هدف],MATCH(Table1[[#This Row],[شناسه ریسک]],r_measure[شناسه ریسک],0))</f>
        <v>متوسط</v>
      </c>
      <c r="I19" s="3" t="str">
        <f>INDEX(r_measure[احتمال وقوع هدف],MATCH(Table1[[#This Row],[شناسه ریسک]],r_measure[شناسه ریسک],0))</f>
        <v>ممکن</v>
      </c>
      <c r="J19" s="6" t="str">
        <f>INDEX('Heat Map'!$B$3:$F$7, MATCH(H19,'Heat Map'!$A$11:$A$15, 0), MATCH(I19,'Heat Map'!$B$10:$F$10, 0))</f>
        <v>Medium</v>
      </c>
      <c r="K19" s="16" cm="1">
        <f t="array" ref="K19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0.18977260273972602</v>
      </c>
    </row>
    <row r="20" spans="1:11" x14ac:dyDescent="0.25">
      <c r="A20" s="5" t="s">
        <v>202</v>
      </c>
      <c r="B20" s="3" t="str">
        <f>INDEX(r_detect[شرح ریسک],MATCH(Table1[[#This Row],[شناسه ریسک]],r_detect[کد ساختار شکست],0))</f>
        <v>تجربه مفید مدیرعامل در اکوسیستم دانشگاهی</v>
      </c>
      <c r="C20" s="3" t="s">
        <v>206</v>
      </c>
      <c r="D20" s="3" t="str">
        <f>INDEX(r_detect[طبقه بندی ریسک],MATCH(Table1[[#This Row],[شناسه ریسک]],r_detect[کد ساختار شکست],0))</f>
        <v>حکمرانی</v>
      </c>
      <c r="E20" s="3" t="str">
        <f>INDEX(r_measure[شدت اثر فعلی],MATCH(Table1[[#This Row],[شناسه ریسک]],r_measure[شناسه ریسک],0))</f>
        <v>متوسط</v>
      </c>
      <c r="F20" s="3" t="str">
        <f>INDEX(r_measure[احتمال وقوع فعلی],MATCH(Table1[[#This Row],[شناسه ریسک]],r_measure[شناسه ریسک],0))</f>
        <v>بعید</v>
      </c>
      <c r="G20" s="3" t="str">
        <f>INDEX('Heat Map'!$B$3:$F$7, MATCH(E20,'Heat Map'!$A$3:$A$7, 0), MATCH(F20,'Heat Map'!$B$2:$F$2, 0))</f>
        <v>Medium</v>
      </c>
      <c r="H20" s="3" t="str">
        <f>INDEX(r_measure[شدت اثر هدف],MATCH(Table1[[#This Row],[شناسه ریسک]],r_measure[شناسه ریسک],0))</f>
        <v>جزئی</v>
      </c>
      <c r="I20" s="3" t="str">
        <f>INDEX(r_measure[احتمال وقوع هدف],MATCH(Table1[[#This Row],[شناسه ریسک]],r_measure[شناسه ریسک],0))</f>
        <v>محتمل</v>
      </c>
      <c r="J20" s="6" t="str">
        <f>INDEX('Heat Map'!$B$3:$F$7, MATCH(H20,'Heat Map'!$A$11:$A$15, 0), MATCH(I20,'Heat Map'!$B$10:$F$10, 0))</f>
        <v>Medium</v>
      </c>
      <c r="K20" s="14" cm="1">
        <f t="array" ref="K20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0.24902520547945212</v>
      </c>
    </row>
    <row r="21" spans="1:11" x14ac:dyDescent="0.25">
      <c r="A21" s="5" t="s">
        <v>203</v>
      </c>
      <c r="B21" s="3" t="str">
        <f>INDEX(r_detect[شرح ریسک],MATCH(Table1[[#This Row],[شناسه ریسک]],r_detect[کد ساختار شکست],0))</f>
        <v>سابقه کار اجرایی مدیران ارشد در صنعت پتروشیمی</v>
      </c>
      <c r="C21" s="3" t="s">
        <v>206</v>
      </c>
      <c r="D21" s="3" t="str">
        <f>INDEX(r_detect[طبقه بندی ریسک],MATCH(Table1[[#This Row],[شناسه ریسک]],r_detect[کد ساختار شکست],0))</f>
        <v>حکمرانی</v>
      </c>
      <c r="E21" s="3" t="str">
        <f>INDEX(r_measure[شدت اثر فعلی],MATCH(Table1[[#This Row],[شناسه ریسک]],r_measure[شناسه ریسک],0))</f>
        <v>عمده</v>
      </c>
      <c r="F21" s="3" t="str">
        <f>INDEX(r_measure[احتمال وقوع فعلی],MATCH(Table1[[#This Row],[شناسه ریسک]],r_measure[شناسه ریسک],0))</f>
        <v>محتمل</v>
      </c>
      <c r="G21" s="3" t="str">
        <f>INDEX('Heat Map'!$B$3:$F$7, MATCH(E21,'Heat Map'!$A$3:$A$7, 0), MATCH(F21,'Heat Map'!$B$2:$F$2, 0))</f>
        <v>Critical</v>
      </c>
      <c r="H21" s="3" t="str">
        <f>INDEX(r_measure[شدت اثر هدف],MATCH(Table1[[#This Row],[شناسه ریسک]],r_measure[شناسه ریسک],0))</f>
        <v>ناچیز</v>
      </c>
      <c r="I21" s="3" t="str">
        <f>INDEX(r_measure[احتمال وقوع هدف],MATCH(Table1[[#This Row],[شناسه ریسک]],r_measure[شناسه ریسک],0))</f>
        <v>مکرر</v>
      </c>
      <c r="J21" s="6" t="str">
        <f>INDEX('Heat Map'!$B$3:$F$7, MATCH(H21,'Heat Map'!$A$11:$A$15, 0), MATCH(I21,'Heat Map'!$B$10:$F$10, 0))</f>
        <v>Medium</v>
      </c>
      <c r="K21" s="14" cm="1">
        <f t="array" ref="K21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0.31961342465753428</v>
      </c>
    </row>
    <row r="22" spans="1:11" x14ac:dyDescent="0.25">
      <c r="A22" s="5" t="s">
        <v>204</v>
      </c>
      <c r="B22" s="3" t="str">
        <f>INDEX(r_detect[شرح ریسک],MATCH(Table1[[#This Row],[شناسه ریسک]],r_detect[کد ساختار شکست],0))</f>
        <v>هم‌افزایی تجربه صنعتی و دانش دانشگاهی</v>
      </c>
      <c r="C22" s="3" t="s">
        <v>206</v>
      </c>
      <c r="D22" s="3" t="str">
        <f>INDEX(r_detect[طبقه بندی ریسک],MATCH(Table1[[#This Row],[شناسه ریسک]],r_detect[کد ساختار شکست],0))</f>
        <v>حکمرانی</v>
      </c>
      <c r="E22" s="3" t="str">
        <f>INDEX(r_measure[شدت اثر فعلی],MATCH(Table1[[#This Row],[شناسه ریسک]],r_measure[شناسه ریسک],0))</f>
        <v>ناچیز</v>
      </c>
      <c r="F22" s="3" t="str">
        <f>INDEX(r_measure[احتمال وقوع فعلی],MATCH(Table1[[#This Row],[شناسه ریسک]],r_measure[شناسه ریسک],0))</f>
        <v>ممکن</v>
      </c>
      <c r="G22" s="3" t="str">
        <f>INDEX('Heat Map'!$B$3:$F$7, MATCH(E22,'Heat Map'!$A$3:$A$7, 0), MATCH(F22,'Heat Map'!$B$2:$F$2, 0))</f>
        <v>Low</v>
      </c>
      <c r="H22" s="3" t="str">
        <f>INDEX(r_measure[شدت اثر هدف],MATCH(Table1[[#This Row],[شناسه ریسک]],r_measure[شناسه ریسک],0))</f>
        <v>عمده</v>
      </c>
      <c r="I22" s="3" t="str">
        <f>INDEX(r_measure[احتمال وقوع هدف],MATCH(Table1[[#This Row],[شناسه ریسک]],r_measure[شناسه ریسک],0))</f>
        <v>محتمل</v>
      </c>
      <c r="J22" s="6" t="str">
        <f>INDEX('Heat Map'!$B$3:$F$7, MATCH(H22,'Heat Map'!$A$11:$A$15, 0), MATCH(I22,'Heat Map'!$B$10:$F$10, 0))</f>
        <v>Critical</v>
      </c>
      <c r="K22" s="14" cm="1">
        <f t="array" ref="K22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0.41723671232876713</v>
      </c>
    </row>
    <row r="23" spans="1:11" x14ac:dyDescent="0.25">
      <c r="A23" s="5" t="s">
        <v>205</v>
      </c>
      <c r="B23" s="3" t="str">
        <f>INDEX(r_detect[شرح ریسک],MATCH(Table1[[#This Row],[شناسه ریسک]],r_detect[کد ساختار شکست],0))</f>
        <v>پتانسیل توسعه جریان‌های درآمدی جدید بواسطه نوآورانه بودن طرح کسب‌وکار خوارزمی</v>
      </c>
      <c r="C23" s="3" t="s">
        <v>206</v>
      </c>
      <c r="D23" s="3" t="str">
        <f>INDEX(r_detect[طبقه بندی ریسک],MATCH(Table1[[#This Row],[شناسه ریسک]],r_detect[کد ساختار شکست],0))</f>
        <v>پایداری و خدمات</v>
      </c>
      <c r="E23" s="3" t="str">
        <f>INDEX(r_measure[شدت اثر فعلی],MATCH(Table1[[#This Row],[شناسه ریسک]],r_measure[شناسه ریسک],0))</f>
        <v>جزئی</v>
      </c>
      <c r="F23" s="3" t="str">
        <f>INDEX(r_measure[احتمال وقوع فعلی],MATCH(Table1[[#This Row],[شناسه ریسک]],r_measure[شناسه ریسک],0))</f>
        <v>نادر</v>
      </c>
      <c r="G23" s="3" t="str">
        <f>INDEX('Heat Map'!$B$3:$F$7, MATCH(E23,'Heat Map'!$A$3:$A$7, 0), MATCH(F23,'Heat Map'!$B$2:$F$2, 0))</f>
        <v>Low</v>
      </c>
      <c r="H23" s="3" t="str">
        <f>INDEX(r_measure[شدت اثر هدف],MATCH(Table1[[#This Row],[شناسه ریسک]],r_measure[شناسه ریسک],0))</f>
        <v>عمده</v>
      </c>
      <c r="I23" s="3" t="str">
        <f>INDEX(r_measure[احتمال وقوع هدف],MATCH(Table1[[#This Row],[شناسه ریسک]],r_measure[شناسه ریسک],0))</f>
        <v>محتمل</v>
      </c>
      <c r="J23" s="6" t="str">
        <f>INDEX('Heat Map'!$B$3:$F$7, MATCH(H23,'Heat Map'!$A$11:$A$15, 0), MATCH(I23,'Heat Map'!$B$10:$F$10, 0))</f>
        <v>Critical</v>
      </c>
      <c r="K23" s="14" cm="1">
        <f t="array" ref="K23">SUMPRODUCT(_xlfn._xlws.FILTER(r_actions[پیشرفت فیزیکی],r_actions[شناسه ریسک]=Table1[[#This Row],[شناسه ریسک]]),_xlfn._xlws.FILTER(r_actions[پیشرفت اجرا (%)],r_actions[شناسه ریسک]=Table1[[#This Row],[شناسه ریسک]]))</f>
        <v>0.20134136986301371</v>
      </c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"/>
  <sheetViews>
    <sheetView showGridLines="0" zoomScale="80" zoomScaleNormal="80" workbookViewId="0">
      <selection activeCell="T19" sqref="T19"/>
    </sheetView>
  </sheetViews>
  <sheetFormatPr defaultRowHeight="15" x14ac:dyDescent="0.25"/>
  <cols>
    <col min="1" max="1" width="20" customWidth="1"/>
    <col min="2" max="4" width="15" customWidth="1"/>
    <col min="6" max="6" width="25" customWidth="1"/>
    <col min="7" max="7" width="15" customWidth="1"/>
    <col min="9" max="10" width="20" customWidth="1"/>
  </cols>
  <sheetData>
    <row r="1" spans="1:10" ht="18.75" x14ac:dyDescent="0.3">
      <c r="A1" s="52" t="s">
        <v>279</v>
      </c>
      <c r="B1" s="53"/>
      <c r="C1" s="13"/>
      <c r="D1" s="13"/>
    </row>
    <row r="2" spans="1:10" x14ac:dyDescent="0.25">
      <c r="A2" s="40" t="s">
        <v>166</v>
      </c>
      <c r="B2" s="40" t="s">
        <v>167</v>
      </c>
      <c r="C2" s="13"/>
      <c r="D2" s="13"/>
      <c r="F2" s="1" t="s">
        <v>4</v>
      </c>
      <c r="G2" s="1" t="s">
        <v>167</v>
      </c>
      <c r="I2" s="1" t="s">
        <v>168</v>
      </c>
      <c r="J2" s="1" t="s">
        <v>169</v>
      </c>
    </row>
    <row r="3" spans="1:10" x14ac:dyDescent="0.25">
      <c r="A3" s="40" t="s">
        <v>83</v>
      </c>
      <c r="B3" s="41">
        <f>COUNTIFS(Table1[سطح فعلی ریسک], A3,Table1[تأثیر],"منفی")/COUNTIF(Table1[تأثیر],"منفی")</f>
        <v>0.22222222222222221</v>
      </c>
      <c r="C3" s="4">
        <v>0.1</v>
      </c>
      <c r="D3" s="13"/>
      <c r="E3" s="45">
        <f>SUMPRODUCT(B3:B6,$C$3:$C$6)</f>
        <v>0.25</v>
      </c>
      <c r="F3" s="1" t="s">
        <v>39</v>
      </c>
      <c r="G3" s="1">
        <f>COUNTIF(ارزیابی!$D$2:$D$23, "همکاری های بیرونی")</f>
        <v>3</v>
      </c>
      <c r="I3" s="1" t="s">
        <v>170</v>
      </c>
      <c r="J3" s="1">
        <f>COUNTA(r_actions[شرح اقدام])</f>
        <v>88</v>
      </c>
    </row>
    <row r="4" spans="1:10" x14ac:dyDescent="0.25">
      <c r="A4" s="40" t="s">
        <v>82</v>
      </c>
      <c r="B4" s="41">
        <f>COUNTIFS(Table1[سطح فعلی ریسک], A4,Table1[تأثیر],"منفی")/COUNTIF(Table1[تأثیر],"منفی")</f>
        <v>0.33333333333333331</v>
      </c>
      <c r="C4" s="4">
        <v>0.2</v>
      </c>
      <c r="D4" s="13"/>
      <c r="F4" s="1" t="s">
        <v>59</v>
      </c>
      <c r="G4" s="1">
        <f>COUNTIF(ارزیابی!$D$2:$D$23, "پایداری و خدمات")</f>
        <v>4</v>
      </c>
      <c r="I4" s="1" t="s">
        <v>171</v>
      </c>
      <c r="J4" s="14">
        <f>AVERAGE(r_actions[پیشرفت اجرا (%)])</f>
        <v>0.53909090909090884</v>
      </c>
    </row>
    <row r="5" spans="1:10" x14ac:dyDescent="0.25">
      <c r="A5" s="40" t="s">
        <v>81</v>
      </c>
      <c r="B5" s="41">
        <f>COUNTIFS(Table1[سطح فعلی ریسک], A5,Table1[تأثیر],"منفی")/COUNTIF(Table1[تأثیر],"منفی")</f>
        <v>0.16666666666666666</v>
      </c>
      <c r="C5" s="4">
        <v>0.3</v>
      </c>
      <c r="D5" s="13"/>
      <c r="F5" s="1" t="s">
        <v>9</v>
      </c>
      <c r="G5" s="1">
        <f>COUNTIF(ارزیابی!$D$2:$D$23, "حکمرانی")</f>
        <v>6</v>
      </c>
      <c r="I5" s="1"/>
      <c r="J5" s="1"/>
    </row>
    <row r="6" spans="1:10" x14ac:dyDescent="0.25">
      <c r="A6" s="40" t="s">
        <v>79</v>
      </c>
      <c r="B6" s="41">
        <f>COUNTIFS(Table1[سطح فعلی ریسک], A6,Table1[تأثیر],"منفی")/COUNTIF(Table1[تأثیر],"منفی")</f>
        <v>0.27777777777777779</v>
      </c>
      <c r="C6" s="4">
        <v>0.4</v>
      </c>
      <c r="D6" s="13"/>
      <c r="F6" s="1" t="s">
        <v>20</v>
      </c>
      <c r="G6" s="1">
        <f>COUNTIF(ارزیابی!$D$2:$D$23, "دارایی های داخلی")</f>
        <v>6</v>
      </c>
    </row>
    <row r="7" spans="1:10" x14ac:dyDescent="0.25">
      <c r="A7" s="40" t="s">
        <v>172</v>
      </c>
      <c r="B7" s="40" t="s">
        <v>167</v>
      </c>
      <c r="C7" s="4"/>
      <c r="D7" s="13"/>
      <c r="F7" s="1" t="s">
        <v>49</v>
      </c>
      <c r="G7" s="1">
        <f>COUNTIF(ارزیابی!$D$2:$D$23, "مرجعیت فکری")</f>
        <v>3</v>
      </c>
    </row>
    <row r="8" spans="1:10" x14ac:dyDescent="0.25">
      <c r="A8" s="40" t="s">
        <v>83</v>
      </c>
      <c r="B8" s="41">
        <f>COUNTIFS(Table1[سطح هدف ریسک], A8,Table1[تأثیر],"منفی")/COUNTIF(Table1[تأثیر],"منفی")</f>
        <v>0.22222222222222221</v>
      </c>
      <c r="C8" s="4"/>
      <c r="D8" s="13"/>
      <c r="E8" s="45">
        <f>SUMPRODUCT(B8:B11,$C$3:$C$6)</f>
        <v>0.17777777777777778</v>
      </c>
      <c r="F8" s="1"/>
      <c r="G8" s="1"/>
    </row>
    <row r="9" spans="1:10" x14ac:dyDescent="0.25">
      <c r="A9" s="40" t="s">
        <v>82</v>
      </c>
      <c r="B9" s="41">
        <f>COUNTIFS(Table1[سطح هدف ریسک], A9,Table1[تأثیر],"منفی")/COUNTIF(Table1[تأثیر],"منفی")</f>
        <v>0.77777777777777779</v>
      </c>
      <c r="C9" s="4"/>
      <c r="D9" s="13"/>
      <c r="F9" s="1"/>
      <c r="G9" s="1"/>
    </row>
    <row r="10" spans="1:10" x14ac:dyDescent="0.25">
      <c r="A10" s="40" t="s">
        <v>81</v>
      </c>
      <c r="B10" s="41">
        <f>COUNTIFS(Table1[سطح هدف ریسک], A10,Table1[تأثیر],"منفی")/COUNTIF(Table1[تأثیر],"منفی")</f>
        <v>0</v>
      </c>
      <c r="C10" s="4"/>
      <c r="D10" s="13"/>
      <c r="F10" s="1"/>
      <c r="G10" s="1"/>
    </row>
    <row r="11" spans="1:10" x14ac:dyDescent="0.25">
      <c r="A11" s="40" t="s">
        <v>79</v>
      </c>
      <c r="B11" s="41">
        <f>COUNTIFS(Table1[سطح هدف ریسک], A11,Table1[تأثیر],"منفی")/COUNTIF(Table1[تأثیر],"منفی")</f>
        <v>0</v>
      </c>
      <c r="C11" s="4"/>
      <c r="D11" s="13"/>
    </row>
    <row r="12" spans="1:10" ht="18.75" x14ac:dyDescent="0.3">
      <c r="A12" s="54" t="s">
        <v>280</v>
      </c>
      <c r="B12" s="55"/>
      <c r="D12" s="13"/>
    </row>
    <row r="13" spans="1:10" x14ac:dyDescent="0.25">
      <c r="A13" s="42" t="s">
        <v>166</v>
      </c>
      <c r="B13" s="42"/>
      <c r="C13" s="4">
        <v>0.1</v>
      </c>
      <c r="D13" s="13"/>
      <c r="E13" s="44">
        <f>SUMPRODUCT(B14:B17,C13:C16)</f>
        <v>0.2</v>
      </c>
    </row>
    <row r="14" spans="1:10" x14ac:dyDescent="0.25">
      <c r="A14" s="42" t="s">
        <v>83</v>
      </c>
      <c r="B14" s="43">
        <f>COUNTIFS(Table1[سطح فعلی ریسک], A14,Table1[تأثیر],"مثبت")/COUNTIF(Table1[تأثیر],"مثبت")</f>
        <v>0.5</v>
      </c>
      <c r="C14" s="4">
        <v>0.2</v>
      </c>
      <c r="D14" s="13"/>
    </row>
    <row r="15" spans="1:10" x14ac:dyDescent="0.25">
      <c r="A15" s="42" t="s">
        <v>82</v>
      </c>
      <c r="B15" s="43">
        <f>COUNTIFS(Table1[سطح فعلی ریسک], A15,Table1[تأثیر],"مثبت")/COUNTIF(Table1[تأثیر],"مثبت")</f>
        <v>0.25</v>
      </c>
      <c r="C15" s="4">
        <v>0.3</v>
      </c>
      <c r="D15" s="13"/>
    </row>
    <row r="16" spans="1:10" x14ac:dyDescent="0.25">
      <c r="A16" s="42" t="s">
        <v>81</v>
      </c>
      <c r="B16" s="43">
        <f>COUNTIFS(Table1[سطح فعلی ریسک], A16,Table1[تأثیر],"مثبت")/COUNTIF(Table1[تأثیر],"مثبت")</f>
        <v>0</v>
      </c>
      <c r="C16" s="4">
        <v>0.4</v>
      </c>
      <c r="D16" s="13"/>
    </row>
    <row r="17" spans="1:5" x14ac:dyDescent="0.25">
      <c r="A17" s="42" t="s">
        <v>79</v>
      </c>
      <c r="B17" s="43">
        <f>COUNTIFS(Table1[سطح فعلی ریسک], A17,Table1[تأثیر],"مثبت")/COUNTIF(Table1[تأثیر],"مثبت")</f>
        <v>0.25</v>
      </c>
    </row>
    <row r="18" spans="1:5" x14ac:dyDescent="0.25">
      <c r="A18" s="42" t="s">
        <v>172</v>
      </c>
      <c r="B18" s="42" t="s">
        <v>167</v>
      </c>
    </row>
    <row r="19" spans="1:5" x14ac:dyDescent="0.25">
      <c r="A19" s="42" t="s">
        <v>83</v>
      </c>
      <c r="B19" s="43">
        <f>COUNTIFS(Table1[سطح هدف ریسک], A19,Table1[تأثیر],"مثبت")/COUNTIF(Table1[تأثیر],"مثبت")</f>
        <v>0</v>
      </c>
      <c r="E19" s="44">
        <f>SUMPRODUCT(B19:B22,$C$3:$C$6)</f>
        <v>0.30000000000000004</v>
      </c>
    </row>
    <row r="20" spans="1:5" x14ac:dyDescent="0.25">
      <c r="A20" s="42" t="s">
        <v>82</v>
      </c>
      <c r="B20" s="43">
        <f>COUNTIFS(Table1[سطح هدف ریسک], A20,Table1[تأثیر],"مثبت")/COUNTIF(Table1[تأثیر],"مثبت")</f>
        <v>0.5</v>
      </c>
    </row>
    <row r="21" spans="1:5" x14ac:dyDescent="0.25">
      <c r="A21" s="42" t="s">
        <v>81</v>
      </c>
      <c r="B21" s="43">
        <f>COUNTIFS(Table1[سطح هدف ریسک], A21,Table1[تأثیر],"مثبت")/COUNTIF(Table1[تأثیر],"مثبت")</f>
        <v>0</v>
      </c>
    </row>
    <row r="22" spans="1:5" x14ac:dyDescent="0.25">
      <c r="A22" s="42" t="s">
        <v>79</v>
      </c>
      <c r="B22" s="43">
        <f>COUNTIFS(Table1[سطح هدف ریسک], A22,Table1[تأثیر],"مثبت")/COUNTIF(Table1[تأثیر],"مثبت")</f>
        <v>0.5</v>
      </c>
    </row>
    <row r="46" spans="1:3" x14ac:dyDescent="0.25">
      <c r="C46" s="4">
        <f>B47/SUM($B$47:$B$50)</f>
        <v>0.23978201634877383</v>
      </c>
    </row>
    <row r="47" spans="1:3" x14ac:dyDescent="0.25">
      <c r="A47" s="17" t="s">
        <v>93</v>
      </c>
      <c r="B47">
        <f>SUMIF(r_actions[ماه/بازه],داشبورد!A47,r_actions[اهمیت (1-10)])</f>
        <v>88</v>
      </c>
      <c r="C47" s="4">
        <f t="shared" ref="C47:C49" si="0">B48/SUM($B$47:$B$50)</f>
        <v>0.24250681198910082</v>
      </c>
    </row>
    <row r="48" spans="1:3" x14ac:dyDescent="0.25">
      <c r="A48" s="18" t="s">
        <v>95</v>
      </c>
      <c r="B48">
        <f>SUMIF(r_actions[ماه/بازه],داشبورد!A48,r_actions[اهمیت (1-10)])</f>
        <v>89</v>
      </c>
      <c r="C48" s="4">
        <f t="shared" si="0"/>
        <v>0.23160762942779292</v>
      </c>
    </row>
    <row r="49" spans="1:3" x14ac:dyDescent="0.25">
      <c r="A49" s="17" t="s">
        <v>97</v>
      </c>
      <c r="B49">
        <f>SUMIF(r_actions[ماه/بازه],داشبورد!A49,r_actions[اهمیت (1-10)])</f>
        <v>85</v>
      </c>
      <c r="C49" s="4">
        <f t="shared" si="0"/>
        <v>0.28610354223433243</v>
      </c>
    </row>
    <row r="50" spans="1:3" x14ac:dyDescent="0.25">
      <c r="A50" s="18" t="s">
        <v>98</v>
      </c>
      <c r="B50">
        <f>SUMIF(r_actions[ماه/بازه],داشبورد!A50,r_actions[اهمیت (1-10)])</f>
        <v>105</v>
      </c>
    </row>
  </sheetData>
  <mergeCells count="2">
    <mergeCell ref="A1:B1"/>
    <mergeCell ref="A12:B1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6E0F-F051-4DAC-AAD4-7BED69E676D9}">
  <dimension ref="A1:I19"/>
  <sheetViews>
    <sheetView showGridLines="0" workbookViewId="0">
      <selection activeCell="G26" sqref="G26"/>
    </sheetView>
  </sheetViews>
  <sheetFormatPr defaultRowHeight="15" x14ac:dyDescent="0.25"/>
  <cols>
    <col min="1" max="1" width="10.710937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customWidth="1"/>
    <col min="6" max="6" width="12.7109375" bestFit="1" customWidth="1"/>
    <col min="7" max="7" width="12" bestFit="1" customWidth="1"/>
    <col min="8" max="8" width="12.7109375" bestFit="1" customWidth="1"/>
    <col min="9" max="9" width="12" bestFit="1" customWidth="1"/>
  </cols>
  <sheetData>
    <row r="1" spans="1:9" x14ac:dyDescent="0.25">
      <c r="B1" t="s">
        <v>173</v>
      </c>
      <c r="E1" t="s">
        <v>174</v>
      </c>
    </row>
    <row r="2" spans="1:9" x14ac:dyDescent="0.25">
      <c r="A2" t="s">
        <v>175</v>
      </c>
      <c r="B2" s="4">
        <v>0.1</v>
      </c>
      <c r="C2">
        <v>1</v>
      </c>
      <c r="D2" t="s">
        <v>175</v>
      </c>
      <c r="E2" s="4">
        <v>0.1</v>
      </c>
      <c r="F2">
        <v>1</v>
      </c>
    </row>
    <row r="3" spans="1:9" x14ac:dyDescent="0.25">
      <c r="A3" t="s">
        <v>176</v>
      </c>
      <c r="B3" s="4">
        <v>0.2</v>
      </c>
      <c r="C3">
        <v>1</v>
      </c>
      <c r="D3" t="s">
        <v>176</v>
      </c>
      <c r="E3" s="4">
        <v>0.2</v>
      </c>
      <c r="F3">
        <v>1</v>
      </c>
    </row>
    <row r="4" spans="1:9" x14ac:dyDescent="0.25">
      <c r="B4" s="4">
        <v>0.3</v>
      </c>
      <c r="C4">
        <v>1</v>
      </c>
      <c r="E4" s="4">
        <v>0.3</v>
      </c>
      <c r="F4">
        <v>1</v>
      </c>
    </row>
    <row r="5" spans="1:9" x14ac:dyDescent="0.25">
      <c r="B5" s="4">
        <v>0.4</v>
      </c>
      <c r="C5">
        <v>1</v>
      </c>
      <c r="E5" s="4">
        <v>0.4</v>
      </c>
      <c r="F5">
        <v>1</v>
      </c>
    </row>
    <row r="6" spans="1:9" x14ac:dyDescent="0.25">
      <c r="B6" s="4">
        <v>0.5</v>
      </c>
      <c r="C6">
        <v>1</v>
      </c>
      <c r="E6" s="4">
        <v>0.5</v>
      </c>
      <c r="F6">
        <v>1</v>
      </c>
    </row>
    <row r="7" spans="1:9" x14ac:dyDescent="0.25">
      <c r="B7" s="4">
        <v>0.6</v>
      </c>
      <c r="C7">
        <v>1</v>
      </c>
      <c r="E7" s="4">
        <v>0.6</v>
      </c>
      <c r="F7">
        <v>1</v>
      </c>
    </row>
    <row r="8" spans="1:9" x14ac:dyDescent="0.25">
      <c r="B8" s="4">
        <v>0.7</v>
      </c>
      <c r="C8">
        <v>1</v>
      </c>
      <c r="E8" s="4">
        <v>0.7</v>
      </c>
      <c r="F8">
        <v>1</v>
      </c>
    </row>
    <row r="9" spans="1:9" x14ac:dyDescent="0.25">
      <c r="B9" s="4">
        <v>0.8</v>
      </c>
      <c r="C9">
        <v>1</v>
      </c>
      <c r="E9" s="4">
        <v>0.8</v>
      </c>
      <c r="F9">
        <v>1</v>
      </c>
    </row>
    <row r="10" spans="1:9" x14ac:dyDescent="0.25">
      <c r="B10" s="4">
        <v>0.9</v>
      </c>
      <c r="C10">
        <v>1</v>
      </c>
      <c r="E10" s="4">
        <v>0.9</v>
      </c>
      <c r="F10">
        <v>1</v>
      </c>
    </row>
    <row r="11" spans="1:9" x14ac:dyDescent="0.25">
      <c r="B11" s="4">
        <v>1</v>
      </c>
      <c r="C11">
        <v>9</v>
      </c>
      <c r="E11" s="4">
        <v>1</v>
      </c>
      <c r="F11">
        <v>9</v>
      </c>
    </row>
    <row r="15" spans="1:9" x14ac:dyDescent="0.25">
      <c r="B15" s="30">
        <f>B19*PI()</f>
        <v>0.78539816339744828</v>
      </c>
      <c r="C15" s="31"/>
      <c r="D15" s="30">
        <f>D19*PI()</f>
        <v>0.55850536063818546</v>
      </c>
      <c r="E15" s="31"/>
      <c r="F15" s="35">
        <f>F19*PI()</f>
        <v>0.62831853071795862</v>
      </c>
      <c r="G15" s="36"/>
      <c r="H15" s="35">
        <f>H19*PI()</f>
        <v>0.94247779607693805</v>
      </c>
      <c r="I15" s="36"/>
    </row>
    <row r="16" spans="1:9" x14ac:dyDescent="0.25">
      <c r="B16" s="32" t="s">
        <v>177</v>
      </c>
      <c r="C16" s="32" t="s">
        <v>178</v>
      </c>
      <c r="D16" s="32" t="s">
        <v>177</v>
      </c>
      <c r="E16" s="32" t="s">
        <v>178</v>
      </c>
      <c r="F16" s="37" t="s">
        <v>177</v>
      </c>
      <c r="G16" s="37" t="s">
        <v>178</v>
      </c>
      <c r="H16" s="37" t="s">
        <v>177</v>
      </c>
      <c r="I16" s="37" t="s">
        <v>178</v>
      </c>
    </row>
    <row r="17" spans="2:9" x14ac:dyDescent="0.25">
      <c r="B17" s="32">
        <v>0</v>
      </c>
      <c r="C17" s="32">
        <v>0</v>
      </c>
      <c r="D17" s="32">
        <v>0</v>
      </c>
      <c r="E17" s="32">
        <v>0</v>
      </c>
      <c r="F17" s="37">
        <v>0</v>
      </c>
      <c r="G17" s="37">
        <v>0</v>
      </c>
      <c r="H17" s="37">
        <v>0</v>
      </c>
      <c r="I17" s="37">
        <v>0</v>
      </c>
    </row>
    <row r="18" spans="2:9" x14ac:dyDescent="0.25">
      <c r="B18" s="32">
        <f>COS(B15)*-1</f>
        <v>-0.70710678118654757</v>
      </c>
      <c r="C18" s="32">
        <f>SIN(B15)</f>
        <v>0.70710678118654746</v>
      </c>
      <c r="D18" s="32">
        <f>COS(D15)*-1</f>
        <v>-0.84804809615642596</v>
      </c>
      <c r="E18" s="32">
        <f>SIN(D15)</f>
        <v>0.5299192642332049</v>
      </c>
      <c r="F18" s="37">
        <f>COS(F15)*-1</f>
        <v>-0.80901699437494745</v>
      </c>
      <c r="G18" s="37">
        <f>SIN(F15)</f>
        <v>0.58778525229247314</v>
      </c>
      <c r="H18" s="37">
        <f>COS(H15)*-1</f>
        <v>-0.58778525229247303</v>
      </c>
      <c r="I18" s="37">
        <f>SIN(H15)</f>
        <v>0.80901699437494745</v>
      </c>
    </row>
    <row r="19" spans="2:9" x14ac:dyDescent="0.25">
      <c r="B19" s="33">
        <f>داشبورد!E3</f>
        <v>0.25</v>
      </c>
      <c r="C19" s="34"/>
      <c r="D19" s="33">
        <f>داشبورد!E8</f>
        <v>0.17777777777777778</v>
      </c>
      <c r="E19" s="34"/>
      <c r="F19" s="38">
        <f>داشبورد!E13</f>
        <v>0.2</v>
      </c>
      <c r="G19" s="39"/>
      <c r="H19" s="38">
        <f>داشبورد!E19</f>
        <v>0.30000000000000004</v>
      </c>
      <c r="I19" s="3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A99EB-9930-408B-B1B9-7CA286D4B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شناسایی ریسک</vt:lpstr>
      <vt:lpstr>سنجش ریسک</vt:lpstr>
      <vt:lpstr>Heat Map</vt:lpstr>
      <vt:lpstr>اقدامات</vt:lpstr>
      <vt:lpstr>ارزیابی</vt:lpstr>
      <vt:lpstr>داشبورد</vt:lpstr>
      <vt:lpstr>Gauge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</cp:lastModifiedBy>
  <dcterms:created xsi:type="dcterms:W3CDTF">2026-05-30T18:02:39Z</dcterms:created>
  <dcterms:modified xsi:type="dcterms:W3CDTF">2026-07-15T17:35:11Z</dcterms:modified>
</cp:coreProperties>
</file>